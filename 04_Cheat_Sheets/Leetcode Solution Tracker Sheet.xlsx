
<file path=[Content_Types].xml><?xml version="1.0" encoding="utf-8"?>
<Types xmlns="http://schemas.openxmlformats.org/package/2006/content-types">
  <Default Extension="vml" ContentType="application/vnd.openxmlformats-officedocument.vmlDrawing"/>
  <Default Extension="xml" ContentType="application/xml"/>
  <Default Extension="rels" ContentType="application/vnd.openxmlformats-package.relationships+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Override PartName="xl/comments2.xml" ContentType="application/vnd.openxmlformats-officedocument.spreadsheetml.comments+xml"/>
  <Override PartName="xl/worksheets/xl/commentsmeta1" ContentType="application/binary"/>
  <Override PartName="xl/drawings/vmlDrawing2.vml" ContentType="application/vnd.openxmlformats-officedocument.vmlDrawing"/>
  <Override PartName="xl/comments3.xml" ContentType="application/vnd.openxmlformats-officedocument.spreadsheetml.comments+xml"/>
  <Override PartName="xl/worksheets/xl/commentsmeta2" ContentType="application/binary"/>
  <Override PartName="xl/drawings/vmlDrawing3.vml" ContentType="application/vnd.openxmlformats-officedocument.vmlDrawing"/>
  <Override PartName="xl/comments4.xml" ContentType="application/vnd.openxmlformats-officedocument.spreadsheetml.comments+xml"/>
  <Override PartName="xl/worksheets/xl/commentsmeta3" ContentType="application/binary"/>
  <Override PartName="xl/drawings/vmlDrawing4.vml" ContentType="application/vnd.openxmlformats-officedocument.vmlDrawing"/>
  <Override PartName="xl/comments5.xml" ContentType="application/vnd.openxmlformats-officedocument.spreadsheetml.comments+xml"/>
  <Override PartName="xl/worksheets/xl/commentsmeta4" ContentType="application/binary"/>
  <Override PartName="xl/drawings/vmlDrawing5.vml" ContentType="application/vnd.openxmlformats-officedocument.vmlDrawing"/>
  <Override PartName="xl/comments6.xml" ContentType="application/vnd.openxmlformats-officedocument.spreadsheetml.comments+xml"/>
  <Override PartName="xl/worksheets/xl/commentsmeta5" ContentType="application/binary"/>
  <Override PartName="xl/drawings/vmlDrawing6.vml" ContentType="application/vnd.openxmlformats-officedocument.vmlDrawing"/>
  <Override PartName="xl/comments7.xml" ContentType="application/vnd.openxmlformats-officedocument.spreadsheetml.comments+xml"/>
  <Override PartName="xl/worksheets/xl/commentsmeta6" ContentType="application/binary"/>
  <Override PartName="xl/drawings/vmlDrawing7.vml" ContentType="application/vnd.openxmlformats-officedocument.vmlDrawing"/>
  <Override PartName="xl/comments8.xml" ContentType="application/vnd.openxmlformats-officedocument.spreadsheetml.comments+xml"/>
  <Override PartName="xl/worksheets/xl/commentsmeta7" ContentType="application/binary"/>
  <Override PartName="xl/drawings/vmlDrawing8.vml" ContentType="application/vnd.openxmlformats-officedocument.vmlDrawing"/>
  <Override PartName="xl/comments9.xml" ContentType="application/vnd.openxmlformats-officedocument.spreadsheetml.comments+xml"/>
  <Override PartName="xl/worksheets/xl/commentsmeta8" ContentType="application/binary"/>
  <Override PartName="xl/drawings/vmlDrawing9.vml" ContentType="application/vnd.openxmlformats-officedocument.vmlDrawing"/>
  <Override PartName="xl/comments10.xml" ContentType="application/vnd.openxmlformats-officedocument.spreadsheetml.comments+xml"/>
  <Override PartName="xl/worksheets/xl/commentsmeta9" ContentType="application/binary"/>
  <Override PartName="xl/drawings/vmlDrawing10.vml" ContentType="application/vnd.openxmlformats-officedocument.vmlDrawing"/>
  <Override PartName="xl/comments11.xml" ContentType="application/vnd.openxmlformats-officedocument.spreadsheetml.comments+xml"/>
  <Override PartName="xl/worksheets/xl/commentsmeta10" ContentType="application/binary"/>
  <Override PartName="xl/drawings/vmlDrawing11.vml" ContentType="application/vnd.openxmlformats-officedocument.vmlDrawing"/>
  <Override PartName="xl/comments12.xml" ContentType="application/vnd.openxmlformats-officedocument.spreadsheetml.comments+xml"/>
  <Override PartName="xl/worksheets/xl/commentsmeta11" ContentType="application/binary"/>
  <Override PartName="xl/drawings/vmlDrawing12.vml" ContentType="application/vnd.openxmlformats-officedocument.vmlDrawing"/>
  <Override PartName="xl/comments13.xml" ContentType="application/vnd.openxmlformats-officedocument.spreadsheetml.comments+xml"/>
  <Override PartName="xl/worksheets/xl/commentsmeta12" ContentType="application/binary"/>
  <Override PartName="xl/drawings/vmlDrawing13.vml" ContentType="application/vnd.openxmlformats-officedocument.vmlDrawing"/>
  <Override PartName="xl/comments14.xml" ContentType="application/vnd.openxmlformats-officedocument.spreadsheetml.comments+xml"/>
  <Override PartName="xl/worksheets/xl/commentsmeta13" ContentType="application/binary"/>
  <Override PartName="xl/drawings/vmlDrawing14.vml" ContentType="application/vnd.openxmlformats-officedocument.vmlDrawing"/>
  <Override PartName="xl/comments15.xml" ContentType="application/vnd.openxmlformats-officedocument.spreadsheetml.comments+xml"/>
  <Override PartName="xl/worksheets/xl/commentsmeta14" ContentType="application/binary"/>
  <Override PartName="xl/drawings/vmlDrawing15.vml" ContentType="application/vnd.openxmlformats-officedocument.vmlDrawing"/>
  <Override PartName="xl/comments16.xml" ContentType="application/vnd.openxmlformats-officedocument.spreadsheetml.comments+xml"/>
  <Override PartName="xl/worksheets/xl/commentsmeta15" ContentType="application/binary"/>
  <Override PartName="xl/drawings/vmlDrawing16.vml" ContentType="application/vnd.openxmlformats-officedocument.vmlDrawing"/>
  <Override PartName="xl/comments17.xml" ContentType="application/vnd.openxmlformats-officedocument.spreadsheetml.comments+xml"/>
  <Override PartName="xl/worksheets/xl/commentsmeta16" ContentType="application/binary"/>
  <Override PartName="xl/drawings/vmlDrawing17.vml" ContentType="application/vnd.openxmlformats-officedocument.vmlDrawing"/>
  <Override PartName="xl/comments18.xml" ContentType="application/vnd.openxmlformats-officedocument.spreadsheetml.comments+xml"/>
  <Override PartName="xl/worksheets/xl/commentsmeta17" ContentType="application/binary"/>
  <Override PartName="xl/drawings/vmlDrawing18.vml" ContentType="application/vnd.openxmlformats-officedocument.vmlDrawing"/>
  <Override PartName="xl/comments19.xml" ContentType="application/vnd.openxmlformats-officedocument.spreadsheetml.comments+xml"/>
  <Override PartName="xl/worksheets/xl/commentsmeta18" ContentType="application/binary"/>
  <Override PartName="xl/drawings/vmlDrawing19.vml" ContentType="application/vnd.openxmlformats-officedocument.vmlDrawing"/>
  <Override PartName="xl/comments20.xml" ContentType="application/vnd.openxmlformats-officedocument.spreadsheetml.comments+xml"/>
  <Override PartName="xl/worksheets/xl/commentsmeta19" ContentType="application/binary"/>
  <Override PartName="xl/drawings/vmlDrawing20.vml" ContentType="application/vnd.openxmlformats-officedocument.vmlDrawing"/>
  <Override PartName="xl/comments21.xml" ContentType="application/vnd.openxmlformats-officedocument.spreadsheetml.comments+xml"/>
  <Override PartName="xl/worksheets/xl/commentsmeta20" ContentType="application/binary"/>
  <Override PartName="xl/drawings/vmlDrawing21.vml" ContentType="application/vnd.openxmlformats-officedocument.vmlDrawing"/>
  <Override PartName="xl/comments22.xml" ContentType="application/vnd.openxmlformats-officedocument.spreadsheetml.comments+xml"/>
  <Override PartName="xl/worksheets/xl/commentsmeta21" ContentType="application/binary"/>
  <Override PartName="xl/drawings/vmlDrawing22.vml" ContentType="application/vnd.openxmlformats-officedocument.vmlDrawing"/>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Instructions" sheetId="1" r:id="rId4" state="visible"/>
    <sheet name="BFS" sheetId="2" r:id="rId5" state="visible"/>
    <sheet name="Backtracking" sheetId="3" r:id="rId6" state="visible"/>
    <sheet name="Binary Search" sheetId="4" r:id="rId7" state="visible"/>
    <sheet name="Bit Manipulation" sheetId="5" r:id="rId8" state="visible"/>
    <sheet name="Bucket Sort" sheetId="6" r:id="rId9" state="visible"/>
    <sheet name="DFS" sheetId="7" r:id="rId10" state="visible"/>
    <sheet name="Design" sheetId="8" r:id="rId11" state="visible"/>
    <sheet name="Dynamic Programming" sheetId="9" r:id="rId12" state="visible"/>
    <sheet name="Fast_Slow Pointers" sheetId="10" r:id="rId13" state="visible"/>
    <sheet name="Graph" sheetId="11" r:id="rId14" state="visible"/>
    <sheet name="Greedy" sheetId="12" r:id="rId15" state="visible"/>
    <sheet name="Heap" sheetId="13" r:id="rId16" state="visible"/>
    <sheet name="In-Place Reversal of LinkedList" sheetId="14" r:id="rId17" state="visible"/>
    <sheet name="Intervals" sheetId="15" r:id="rId18" state="visible"/>
    <sheet name="Sliding Window" sheetId="16" r:id="rId19" state="visible"/>
    <sheet name="Sorting" sheetId="17" r:id="rId20" state="visible"/>
    <sheet name="Topological Sort" sheetId="18" r:id="rId21" state="visible"/>
    <sheet name="Trie" sheetId="19" r:id="rId22" state="visible"/>
    <sheet name="Two Pointers " sheetId="20" r:id="rId23" state="visible"/>
    <sheet name="Union Find" sheetId="21" r:id="rId24" state="visible"/>
    <sheet name="Arrays" sheetId="22" r:id="rId25" state="visible"/>
  </sheets>
  <definedNames/>
  <calcPr/>
  <extLst>
    <ext uri="GoogleSheetsCustomDataVersion2">
      <go:sheetsCustomData xmlns:go="http://customooxmlschemas.google.com/" r:id="rId26" roundtripDataChecksum="3jEfZjUZOjYWmWlBUHpt1Alqd3qZaG6AqjkFbjX2OeY="/>
    </ext>
  </extLst>
</workbook>
</file>

<file path=xl/comments1.xml><?xml version="1.0" encoding="utf-8"?>
<comments xmlns:r="http://schemas.openxmlformats.org/officeDocument/2006/relationships" xmlns="http://schemas.openxmlformats.org/spreadsheetml/2006/main" xmlns:xr="http://schemas.microsoft.com/office/spreadsheetml/2014/revision">
  <extLst>
    <ext uri="GoogleSheetsCustomDataVersion2">
      <go:sheetsCustomData xmlns:go="http://customooxmlschemas.google.com/" roundtripDataSignature="AMtx7miHFgmS48iBkz1aW+i4FXi0sGUQIA==" r:id="rId1"/>
    </ext>
  </extLst>
  <authors>
    <author/>
  </authors>
  <commentList/>
</comments>
</file>

<file path=xl/comments2.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3.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4.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5.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6.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7.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8.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9.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0.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1.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2.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3.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4.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5.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6.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7.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8.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19.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20.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21.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comments22.xml><?xml version="1.0" encoding="utf-8"?>
<comments xmlns="http://schemas.openxmlformats.org/spreadsheetml/2006/main" xmlns:r="http://schemas.openxmlformats.org/officeDocument/2006/relationships">
  <authors>
    <author/>
  </authors>
  <commentList/>
  <extLst>
    <ext uri="GoogleSheetsCustomDataVersion2">
      <go:sheetsCustomData xmlns:go="http://customooxmlschemas.google.com/" roundtripDataSignature="AMtx7miHFgmS48iBkz1aW+i4FXi0sGUQIA==" r:id="rId1"/>
    </ext>
  </extLst>
</comments>
</file>

<file path=xl/sharedStrings.xml><?xml version="1.0" encoding="utf-8"?>
<sst xmlns="http://schemas.openxmlformats.org/spreadsheetml/2006/main" count="692" uniqueCount="198">
  <si>
    <t>Each sheet of this spreadsheet contains a leetcode pattern. While these questions aren't an exhaustive list of all leetcode questions, if you are able to  go through these questions with relative ease, most leetode questions should come relatively easy for you.</t>
  </si>
  <si>
    <t>Some questions are repeated between multiple patterns. If you solve Jump Game using dynamic programming because its more intuitive that way, try solving it using a greedy approach. This way you develop a skill of using multiple approaches for the same question</t>
  </si>
  <si>
    <t>Date Solved: Date that you solved the problem</t>
  </si>
  <si>
    <t>Problem No: Leetcode Number</t>
  </si>
  <si>
    <t xml:space="preserve">Problem Title: Leetcode title
</t>
  </si>
  <si>
    <t>Difficulty: Leetcode Difficulty</t>
  </si>
  <si>
    <t>Notes: Any  notes to help you recall the question</t>
  </si>
  <si>
    <t>Solved First Time? (Y/N) : Y if you solved the question the first time you saw it, N- if not</t>
  </si>
  <si>
    <t xml:space="preserve">Next Solve Date: Automatically generated date for when you should try resolving </t>
  </si>
  <si>
    <t>IsProblemCompetent : Mark it when you think you are compentent with the question</t>
  </si>
  <si>
    <t>After you solve a problem, drag down the next solve date to automatically calculate when next to solve. You can also use your own values</t>
  </si>
  <si>
    <t>Feel free to reach out to me: Mykel Boachie</t>
  </si>
  <si>
    <t>Credit to Sean Prashad. Check out his list here - &gt; https://seanprashad.com/leetcode-patterns/</t>
  </si>
  <si>
    <t>Date Solved</t>
  </si>
  <si>
    <t>Problem No</t>
  </si>
  <si>
    <t>Problem Title</t>
  </si>
  <si>
    <t>Difficulty</t>
  </si>
  <si>
    <t>Notes</t>
  </si>
  <si>
    <t>Solved First Time? (Y/N)</t>
  </si>
  <si>
    <t>Next Solve Date</t>
  </si>
  <si>
    <t>Next Solved Date</t>
  </si>
  <si>
    <t>IsProblemCompetent</t>
  </si>
  <si>
    <t>Average of Levels in Binary Tree</t>
  </si>
  <si>
    <t>Easy</t>
  </si>
  <si>
    <t>Y</t>
  </si>
  <si>
    <t>Minimum Depth of Binary Tree</t>
  </si>
  <si>
    <t>Clone Graph</t>
  </si>
  <si>
    <t>Medium</t>
  </si>
  <si>
    <t>Pacific Atlantic Water Flow</t>
  </si>
  <si>
    <t>Product of Array Except Self</t>
  </si>
  <si>
    <t>Number of Islands</t>
  </si>
  <si>
    <t>Graph Valid Tree</t>
  </si>
  <si>
    <t>Number of Connected Components in an Undirected Graph</t>
  </si>
  <si>
    <t>Course Schedule</t>
  </si>
  <si>
    <t xml:space="preserve"> Course Schedule II</t>
  </si>
  <si>
    <t>Minimum Height Trees</t>
  </si>
  <si>
    <t>Binary Tree Level Order Traversal II</t>
  </si>
  <si>
    <t>Binary Tree Level Order Traversal</t>
  </si>
  <si>
    <t>Binary Tree Zigzag Level Order Traversal</t>
  </si>
  <si>
    <t>Populating Next Right Pointers in Each Node</t>
  </si>
  <si>
    <t>Populating Next Right Pointers in Each Node II</t>
  </si>
  <si>
    <t>Binary Tree Right Side View</t>
  </si>
  <si>
    <t>All Nodes Distance K in Binary Tree</t>
  </si>
  <si>
    <t>Word Search</t>
  </si>
  <si>
    <t>Letter Case Permutation</t>
  </si>
  <si>
    <t>Subsets</t>
  </si>
  <si>
    <t>Subsets II</t>
  </si>
  <si>
    <t>Permutations</t>
  </si>
  <si>
    <t xml:space="preserve"> Permutations II</t>
  </si>
  <si>
    <t>Combinations</t>
  </si>
  <si>
    <t>Combination Sum</t>
  </si>
  <si>
    <t>Combination Sum II</t>
  </si>
  <si>
    <t>Combination Sum III</t>
  </si>
  <si>
    <t>Generate Parentheses</t>
  </si>
  <si>
    <t>Palindrome Partitioning</t>
  </si>
  <si>
    <t>Letter Combinations Of A Phone Number</t>
  </si>
  <si>
    <t>Generalized Abbreviation</t>
  </si>
  <si>
    <t xml:space="preserve">Sudoku Solver </t>
  </si>
  <si>
    <t>Hard</t>
  </si>
  <si>
    <t>N-Queens</t>
  </si>
  <si>
    <t>Binary Search</t>
  </si>
  <si>
    <t>Find Smallest Letter Greater Than Target</t>
  </si>
  <si>
    <t>Peak Index in a Mountain Array</t>
  </si>
  <si>
    <t>Find the Duplicate Number</t>
  </si>
  <si>
    <t>Kth Smallest Element in a Sorted Matrix</t>
  </si>
  <si>
    <t>Find Minimum in Rotated Sorted Array</t>
  </si>
  <si>
    <t>Find Peak Element</t>
  </si>
  <si>
    <t>Search in Rotated Sorted Array</t>
  </si>
  <si>
    <t>Search in Rotated Sorted Array II</t>
  </si>
  <si>
    <t>Search a 2D Matrix</t>
  </si>
  <si>
    <t>Search a 2D Matrix II</t>
  </si>
  <si>
    <t>Find K Closest Elements</t>
  </si>
  <si>
    <t>Count of Range Sum</t>
  </si>
  <si>
    <t>Median of Two Sorted Arrays</t>
  </si>
  <si>
    <t>Missing Number</t>
  </si>
  <si>
    <t>Single Number</t>
  </si>
  <si>
    <t>Maximum Frequency Stack</t>
  </si>
  <si>
    <t>Same Tree</t>
  </si>
  <si>
    <t xml:space="preserve">Path Sum </t>
  </si>
  <si>
    <t>Diameter of Binary Tree</t>
  </si>
  <si>
    <t xml:space="preserve">Merge Two Binary Trees </t>
  </si>
  <si>
    <t>Maximum Depth of Binary Tree</t>
  </si>
  <si>
    <t>Lowest Common Ancestor of a Binary Search Tree</t>
  </si>
  <si>
    <t>Subtree of Another Tree</t>
  </si>
  <si>
    <t>Invert Binary Tree</t>
  </si>
  <si>
    <t>Target Sum</t>
  </si>
  <si>
    <t>Kth Smallest Element in a BST</t>
  </si>
  <si>
    <t xml:space="preserve">	Course Schedule II</t>
  </si>
  <si>
    <t>Path Sum II</t>
  </si>
  <si>
    <t>Path Sum III</t>
  </si>
  <si>
    <t xml:space="preserve">Lowest Common Ancestor of a Binary Tree
</t>
  </si>
  <si>
    <t>Maximum Binary Tree</t>
  </si>
  <si>
    <t>Maximum Width Of Binary Tree</t>
  </si>
  <si>
    <t>Construct Binary Tree from Preorder and Inorder Traversal</t>
  </si>
  <si>
    <t>Validate Binary Search Tree</t>
  </si>
  <si>
    <t>Binary Tree Maximum Path Sum</t>
  </si>
  <si>
    <t>Word Search II</t>
  </si>
  <si>
    <t>Sort Items by Groups Respecting Dependencies</t>
  </si>
  <si>
    <t>Implement Trie (Prefix Tree)</t>
  </si>
  <si>
    <t>Serialize and Deserialize Binary Tree</t>
  </si>
  <si>
    <t>Climbing Stairs</t>
  </si>
  <si>
    <t>Best Time to Buy and Sell Stock</t>
  </si>
  <si>
    <t>Maximum Subarray</t>
  </si>
  <si>
    <t>Range Sum Query - Immutable</t>
  </si>
  <si>
    <t>House Robber</t>
  </si>
  <si>
    <t>House Robber II</t>
  </si>
  <si>
    <t>Coin Change</t>
  </si>
  <si>
    <t>Maximum Product Subarray</t>
  </si>
  <si>
    <t>Longest Increasing Subsequence</t>
  </si>
  <si>
    <t>Longest Palindromic Substring</t>
  </si>
  <si>
    <t>Word Break</t>
  </si>
  <si>
    <t>Combination Sum IV</t>
  </si>
  <si>
    <t>Decode Ways</t>
  </si>
  <si>
    <t>Unique Paths</t>
  </si>
  <si>
    <t>Jump Game</t>
  </si>
  <si>
    <t>Palindromic Substrings</t>
  </si>
  <si>
    <t>Number of Longest Increasing Subsequence</t>
  </si>
  <si>
    <t>Partition Equal Subset Sum</t>
  </si>
  <si>
    <t>Partition to K Equal Sum Subsets</t>
  </si>
  <si>
    <t>Best Time to Buy and Sell Stock with Cooldown</t>
  </si>
  <si>
    <t>Counting Bits</t>
  </si>
  <si>
    <t>Linked List Cycle</t>
  </si>
  <si>
    <t>Middle of the Linked List</t>
  </si>
  <si>
    <t>Palindrome Linked List</t>
  </si>
  <si>
    <t>Remove Linked List Elements</t>
  </si>
  <si>
    <t>Remove Duplicates from Sorted List</t>
  </si>
  <si>
    <t>Linked List Cycle II</t>
  </si>
  <si>
    <t>Add Two Numbers</t>
  </si>
  <si>
    <t>Remove Nth Node From End Of List</t>
  </si>
  <si>
    <t>Sort List</t>
  </si>
  <si>
    <t>Reorder List</t>
  </si>
  <si>
    <t>Course Schedule II</t>
  </si>
  <si>
    <t>Sequence Reconstruction</t>
  </si>
  <si>
    <t>Alien Dictionary</t>
  </si>
  <si>
    <t>Task Scheduler</t>
  </si>
  <si>
    <t>Minimum Number of Arrows to Burst Balloons</t>
  </si>
  <si>
    <t>Reorganize String</t>
  </si>
  <si>
    <t>Employee Free Time</t>
  </si>
  <si>
    <t>Rearrange String k Distance Apart</t>
  </si>
  <si>
    <t>Course Schedule III</t>
  </si>
  <si>
    <t>Find K Pairs with Smallest Sums</t>
  </si>
  <si>
    <t>Meeting Rooms II</t>
  </si>
  <si>
    <t>K Closest Points to Origin</t>
  </si>
  <si>
    <t>Top K Frequent Elements</t>
  </si>
  <si>
    <t>Sort Characters By Frequency</t>
  </si>
  <si>
    <t>Kth Largest Element in an Array</t>
  </si>
  <si>
    <t>Merge k Sorted Lists</t>
  </si>
  <si>
    <t>Smallest Range Covering Elements from K Lists</t>
  </si>
  <si>
    <t>Find Median from Data Stream</t>
  </si>
  <si>
    <t>Sliding Window Mean</t>
  </si>
  <si>
    <t>Reverse Linked List</t>
  </si>
  <si>
    <t>Reverse Linked List II</t>
  </si>
  <si>
    <t>Rotate List</t>
  </si>
  <si>
    <t>Swap Nodes in Pairs</t>
  </si>
  <si>
    <t>Odd Even Linked List</t>
  </si>
  <si>
    <t>Reverse Nodes in k-Group</t>
  </si>
  <si>
    <t>Meeting Rooms</t>
  </si>
  <si>
    <t>Merge Intervals</t>
  </si>
  <si>
    <t>Interval List Intersections</t>
  </si>
  <si>
    <t>Non-overlapping Intervals</t>
  </si>
  <si>
    <t>Insert Interval</t>
  </si>
  <si>
    <t>Minimum Size Subarray Sum</t>
  </si>
  <si>
    <t>Fruit Into Baskets</t>
  </si>
  <si>
    <t>Permutation in String</t>
  </si>
  <si>
    <t>Longest Repeating Character Replacement</t>
  </si>
  <si>
    <t>Longest Substring Without Repeating Characters</t>
  </si>
  <si>
    <t>Sliding Window Maximum</t>
  </si>
  <si>
    <t>Minimum Number of K Consecutive Bit Flips</t>
  </si>
  <si>
    <t>Count Unique Characters of All Substrings of a Given String</t>
  </si>
  <si>
    <t>Minimum Window Substring</t>
  </si>
  <si>
    <t>Substring with Concatenation of All Words</t>
  </si>
  <si>
    <t>Majority Element</t>
  </si>
  <si>
    <t>Longest Word in Dictionary</t>
  </si>
  <si>
    <t>Index Pairs of a String</t>
  </si>
  <si>
    <t>Maximum XOR of Two Numbers in an Array</t>
  </si>
  <si>
    <t>Concatenated Words</t>
  </si>
  <si>
    <t>Prefix and Suffix Search</t>
  </si>
  <si>
    <t>Palindrome Pairs</t>
  </si>
  <si>
    <t>Word Squares</t>
  </si>
  <si>
    <t>Design AutoComplete System</t>
  </si>
  <si>
    <t>Merge Two Sorted Lists</t>
  </si>
  <si>
    <t>Two Sum</t>
  </si>
  <si>
    <t>Squares of a Sorted Array</t>
  </si>
  <si>
    <t>Backspace String Compare</t>
  </si>
  <si>
    <t>3 Sum</t>
  </si>
  <si>
    <t>3 Sum Closest</t>
  </si>
  <si>
    <t>Subarrays with Product Less than K</t>
  </si>
  <si>
    <t>Sort Colours</t>
  </si>
  <si>
    <t>Container With Most Water</t>
  </si>
  <si>
    <t>Trapping Rain Water</t>
  </si>
  <si>
    <t>Contains Duplicate</t>
  </si>
  <si>
    <t>Find All Numbers Disappeard in an Array</t>
  </si>
  <si>
    <t>Find All Duplicates in an Array</t>
  </si>
  <si>
    <t>Set Matrix Zeroes</t>
  </si>
  <si>
    <t>Spiral Matrix</t>
  </si>
  <si>
    <t>Rotate Image</t>
  </si>
  <si>
    <t>First Missing Positive</t>
  </si>
  <si>
    <t>Longest Consecutive Sequence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</si>
</sst>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000000"/>
      <name val="Calibri"/>
    </font>
    <font>
      <b/>
      <sz val="11.0"/>
      <color theme="1"/>
      <name val="Calibri"/>
    </font>
    <font>
      <sz val="11.0"/>
      <color rgb="FF000000"/>
      <name val="Calibri"/>
    </font>
    <font>
      <b/>
      <u/>
      <sz val="11.0"/>
      <color theme="10"/>
    </font>
    <font>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Font="1"/>
    <xf borderId="0" fillId="0" fontId="2" numFmtId="0" xfId="0" applyAlignment="1" applyFont="1">
      <alignment horizontal="center" shrinkToFit="0" wrapText="1"/>
    </xf>
    <xf borderId="0" fillId="0" fontId="2" numFmtId="0" xfId="0" applyFont="1"/>
    <xf borderId="0" fillId="0" fontId="4" numFmtId="0" xfId="0" applyAlignment="1" applyFont="1">
      <alignment horizontal="center"/>
    </xf>
    <xf borderId="0" fillId="0" fontId="5" numFmtId="0" xfId="0" applyFont="1"/>
    <xf borderId="0" fillId="0" fontId="6" numFmtId="14" xfId="0" applyFont="1" applyNumberFormat="1"/>
    <xf borderId="0" fillId="0" fontId="3" numFmtId="0" xfId="0" applyAlignment="1" applyFont="1">
      <alignment shrinkToFit="0" wrapText="1"/>
    </xf>
    <xf borderId="0" fillId="0" fontId="6"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hyperlink" Target="https://www.linkedin.com/in/mykelb/" Id="rId1" TargetMode="External"></Relationship><Relationship Type="http://schemas.openxmlformats.org/officeDocument/2006/relationships/drawing" Target="../drawings/drawing1.xml" Id="rId2"></Relationship><Relationship Target="../comments2.xml" Type="http://schemas.openxmlformats.org/officeDocument/2006/relationships/comments" Id="rId3"></Relationship><Relationship Target="../drawings/vmlDrawing2.vml" Type="http://schemas.openxmlformats.org/officeDocument/2006/relationships/vmlDrawing" Id="rId4"></Relationship></Relationships>
</file>

<file path=xl/worksheets/_rels/sheet2.xml.rels><?xml version="1.0" encoding="UTF-8" standalone="yes"?>
<Relationships xmlns="http://schemas.openxmlformats.org/package/2006/relationships"><Relationship Type="http://schemas.openxmlformats.org/officeDocument/2006/relationships/drawing" Target="../drawings/drawing2.xml" Id="rId1"></Relationship><Relationship Target="../comments3.xml" Type="http://schemas.openxmlformats.org/officeDocument/2006/relationships/comments" Id="rId2"></Relationship><Relationship Target="../drawings/vmlDrawing3.vml" Type="http://schemas.openxmlformats.org/officeDocument/2006/relationships/vmlDrawing" Id="rId3"></Relationship></Relationships>
</file>

<file path=xl/worksheets/_rels/sheet3.xml.rels><?xml version="1.0" encoding="UTF-8" standalone="yes"?>
<Relationships xmlns="http://schemas.openxmlformats.org/package/2006/relationships"><Relationship Type="http://schemas.openxmlformats.org/officeDocument/2006/relationships/drawing" Target="../drawings/drawing3.xml" Id="rId1"></Relationship><Relationship Target="../comments4.xml" Type="http://schemas.openxmlformats.org/officeDocument/2006/relationships/comments" Id="rId2"></Relationship><Relationship Target="../drawings/vmlDrawing4.vml" Type="http://schemas.openxmlformats.org/officeDocument/2006/relationships/vmlDrawing" Id="rId3"></Relationship></Relationships>
</file>

<file path=xl/worksheets/_rels/sheet4.xml.rels><?xml version="1.0" encoding="UTF-8" standalone="yes"?>
<Relationships xmlns="http://schemas.openxmlformats.org/package/2006/relationships"><Relationship Type="http://schemas.openxmlformats.org/officeDocument/2006/relationships/drawing" Target="../drawings/drawing4.xml" Id="rId1"></Relationship><Relationship Target="../comments5.xml" Type="http://schemas.openxmlformats.org/officeDocument/2006/relationships/comments" Id="rId2"></Relationship><Relationship Target="../drawings/vmlDrawing5.vml" Type="http://schemas.openxmlformats.org/officeDocument/2006/relationships/vmlDrawing" Id="rId3"></Relationship></Relationships>
</file>

<file path=xl/worksheets/_rels/sheet5.xml.rels><?xml version="1.0" encoding="UTF-8" standalone="yes"?>
<Relationships xmlns="http://schemas.openxmlformats.org/package/2006/relationships"><Relationship Type="http://schemas.openxmlformats.org/officeDocument/2006/relationships/drawing" Target="../drawings/drawing5.xml" Id="rId1"></Relationship><Relationship Target="../comments6.xml" Type="http://schemas.openxmlformats.org/officeDocument/2006/relationships/comments" Id="rId2"></Relationship><Relationship Target="../drawings/vmlDrawing6.vml" Type="http://schemas.openxmlformats.org/officeDocument/2006/relationships/vmlDrawing" Id="rId3"></Relationship></Relationships>
</file>

<file path=xl/worksheets/_rels/sheet6.xml.rels><?xml version="1.0" encoding="UTF-8" standalone="yes"?>
<Relationships xmlns="http://schemas.openxmlformats.org/package/2006/relationships"><Relationship Type="http://schemas.openxmlformats.org/officeDocument/2006/relationships/drawing" Target="../drawings/drawing6.xml" Id="rId1"></Relationship><Relationship Target="../comments7.xml" Type="http://schemas.openxmlformats.org/officeDocument/2006/relationships/comments" Id="rId2"></Relationship><Relationship Target="../drawings/vmlDrawing7.vml" Type="http://schemas.openxmlformats.org/officeDocument/2006/relationships/vmlDrawing" Id="rId3"></Relationship></Relationships>
</file>

<file path=xl/worksheets/_rels/sheet7.xml.rels><?xml version="1.0" encoding="UTF-8" standalone="yes"?>
<Relationships xmlns="http://schemas.openxmlformats.org/package/2006/relationships"><Relationship Type="http://schemas.openxmlformats.org/officeDocument/2006/relationships/drawing" Target="../drawings/drawing7.xml" Id="rId1"></Relationship><Relationship Target="../comments8.xml" Type="http://schemas.openxmlformats.org/officeDocument/2006/relationships/comments" Id="rId2"></Relationship><Relationship Target="../drawings/vmlDrawing8.vml" Type="http://schemas.openxmlformats.org/officeDocument/2006/relationships/vmlDrawing" Id="rId3"></Relationship></Relationships>
</file>

<file path=xl/worksheets/_rels/sheet8.xml.rels><?xml version="1.0" encoding="UTF-8" standalone="yes"?>
<Relationships xmlns="http://schemas.openxmlformats.org/package/2006/relationships"><Relationship Type="http://schemas.openxmlformats.org/officeDocument/2006/relationships/drawing" Target="../drawings/drawing8.xml" Id="rId1"></Relationship><Relationship Target="../comments9.xml" Type="http://schemas.openxmlformats.org/officeDocument/2006/relationships/comments" Id="rId2"></Relationship><Relationship Target="../drawings/vmlDrawing9.vml" Type="http://schemas.openxmlformats.org/officeDocument/2006/relationships/vmlDrawing" Id="rId3"></Relationship></Relationships>
</file>

<file path=xl/worksheets/_rels/sheet9.xml.rels><?xml version="1.0" encoding="UTF-8" standalone="yes"?>
<Relationships xmlns="http://schemas.openxmlformats.org/package/2006/relationships"><Relationship Type="http://schemas.openxmlformats.org/officeDocument/2006/relationships/drawing" Target="../drawings/drawing9.xml" Id="rId1"></Relationship><Relationship Target="../comments10.xml" Type="http://schemas.openxmlformats.org/officeDocument/2006/relationships/comments" Id="rId2"></Relationship><Relationship Target="../drawings/vmlDrawing10.vml" Type="http://schemas.openxmlformats.org/officeDocument/2006/relationships/vmlDrawing" Id="rId3"></Relationship></Relationships>
</file>

<file path=xl/worksheets/_rels/sheet10.xml.rels><?xml version="1.0" encoding="UTF-8" standalone="yes"?>
<Relationships xmlns="http://schemas.openxmlformats.org/package/2006/relationships"><Relationship Type="http://schemas.openxmlformats.org/officeDocument/2006/relationships/drawing" Target="../drawings/drawing10.xml" Id="rId1"></Relationship><Relationship Target="../comments11.xml" Type="http://schemas.openxmlformats.org/officeDocument/2006/relationships/comments" Id="rId2"></Relationship><Relationship Target="../drawings/vmlDrawing11.vml" Type="http://schemas.openxmlformats.org/officeDocument/2006/relationships/vmlDrawing" Id="rId3"></Relationship></Relationships>
</file>

<file path=xl/worksheets/_rels/sheet11.xml.rels><?xml version="1.0" encoding="UTF-8" standalone="yes"?>
<Relationships xmlns="http://schemas.openxmlformats.org/package/2006/relationships"><Relationship Type="http://schemas.openxmlformats.org/officeDocument/2006/relationships/drawing" Target="../drawings/drawing11.xml" Id="rId1"></Relationship><Relationship Target="../comments12.xml" Type="http://schemas.openxmlformats.org/officeDocument/2006/relationships/comments" Id="rId2"></Relationship><Relationship Target="../drawings/vmlDrawing12.vml" Type="http://schemas.openxmlformats.org/officeDocument/2006/relationships/vmlDrawing" Id="rId3"></Relationship></Relationships>
</file>

<file path=xl/worksheets/_rels/sheet12.xml.rels><?xml version="1.0" encoding="UTF-8" standalone="yes"?>
<Relationships xmlns="http://schemas.openxmlformats.org/package/2006/relationships"><Relationship Type="http://schemas.openxmlformats.org/officeDocument/2006/relationships/drawing" Target="../drawings/drawing12.xml" Id="rId1"></Relationship><Relationship Target="../comments13.xml" Type="http://schemas.openxmlformats.org/officeDocument/2006/relationships/comments" Id="rId2"></Relationship><Relationship Target="../drawings/vmlDrawing13.vml" Type="http://schemas.openxmlformats.org/officeDocument/2006/relationships/vmlDrawing" Id="rId3"></Relationship></Relationships>
</file>

<file path=xl/worksheets/_rels/sheet13.xml.rels><?xml version="1.0" encoding="UTF-8" standalone="yes"?>
<Relationships xmlns="http://schemas.openxmlformats.org/package/2006/relationships"><Relationship Type="http://schemas.openxmlformats.org/officeDocument/2006/relationships/drawing" Target="../drawings/drawing13.xml" Id="rId1"></Relationship><Relationship Target="../comments14.xml" Type="http://schemas.openxmlformats.org/officeDocument/2006/relationships/comments" Id="rId2"></Relationship><Relationship Target="../drawings/vmlDrawing14.vml" Type="http://schemas.openxmlformats.org/officeDocument/2006/relationships/vmlDrawing" Id="rId3"></Relationship></Relationships>
</file>

<file path=xl/worksheets/_rels/sheet14.xml.rels><?xml version="1.0" encoding="UTF-8" standalone="yes"?>
<Relationships xmlns="http://schemas.openxmlformats.org/package/2006/relationships"><Relationship Type="http://schemas.openxmlformats.org/officeDocument/2006/relationships/drawing" Target="../drawings/drawing14.xml" Id="rId1"></Relationship><Relationship Target="../comments15.xml" Type="http://schemas.openxmlformats.org/officeDocument/2006/relationships/comments" Id="rId2"></Relationship><Relationship Target="../drawings/vmlDrawing15.vml" Type="http://schemas.openxmlformats.org/officeDocument/2006/relationships/vmlDrawing" Id="rId3"></Relationship></Relationships>
</file>

<file path=xl/worksheets/_rels/sheet15.xml.rels><?xml version="1.0" encoding="UTF-8" standalone="yes"?>
<Relationships xmlns="http://schemas.openxmlformats.org/package/2006/relationships"><Relationship Type="http://schemas.openxmlformats.org/officeDocument/2006/relationships/drawing" Target="../drawings/drawing15.xml" Id="rId1"></Relationship><Relationship Target="../comments16.xml" Type="http://schemas.openxmlformats.org/officeDocument/2006/relationships/comments" Id="rId2"></Relationship><Relationship Target="../drawings/vmlDrawing16.vml" Type="http://schemas.openxmlformats.org/officeDocument/2006/relationships/vmlDrawing" Id="rId3"></Relationship></Relationships>
</file>

<file path=xl/worksheets/_rels/sheet16.xml.rels><?xml version="1.0" encoding="UTF-8" standalone="yes"?>
<Relationships xmlns="http://schemas.openxmlformats.org/package/2006/relationships"><Relationship Type="http://schemas.openxmlformats.org/officeDocument/2006/relationships/drawing" Target="../drawings/drawing16.xml" Id="rId1"></Relationship><Relationship Target="../comments17.xml" Type="http://schemas.openxmlformats.org/officeDocument/2006/relationships/comments" Id="rId2"></Relationship><Relationship Target="../drawings/vmlDrawing17.vml" Type="http://schemas.openxmlformats.org/officeDocument/2006/relationships/vmlDrawing" Id="rId3"></Relationship></Relationships>
</file>

<file path=xl/worksheets/_rels/sheet17.xml.rels><?xml version="1.0" encoding="UTF-8" standalone="yes"?>
<Relationships xmlns="http://schemas.openxmlformats.org/package/2006/relationships"><Relationship Type="http://schemas.openxmlformats.org/officeDocument/2006/relationships/drawing" Target="../drawings/drawing17.xml" Id="rId1"></Relationship><Relationship Target="../comments18.xml" Type="http://schemas.openxmlformats.org/officeDocument/2006/relationships/comments" Id="rId2"></Relationship><Relationship Target="../drawings/vmlDrawing18.vml" Type="http://schemas.openxmlformats.org/officeDocument/2006/relationships/vmlDrawing" Id="rId3"></Relationship></Relationships>
</file>

<file path=xl/worksheets/_rels/sheet18.xml.rels><?xml version="1.0" encoding="UTF-8" standalone="yes"?>
<Relationships xmlns="http://schemas.openxmlformats.org/package/2006/relationships"><Relationship Type="http://schemas.openxmlformats.org/officeDocument/2006/relationships/drawing" Target="../drawings/drawing18.xml" Id="rId1"></Relationship><Relationship Target="../comments19.xml" Type="http://schemas.openxmlformats.org/officeDocument/2006/relationships/comments" Id="rId2"></Relationship><Relationship Target="../drawings/vmlDrawing19.vml" Type="http://schemas.openxmlformats.org/officeDocument/2006/relationships/vmlDrawing" Id="rId3"></Relationship></Relationships>
</file>

<file path=xl/worksheets/_rels/sheet19.xml.rels><?xml version="1.0" encoding="UTF-8" standalone="yes"?>
<Relationships xmlns="http://schemas.openxmlformats.org/package/2006/relationships"><Relationship Type="http://schemas.openxmlformats.org/officeDocument/2006/relationships/drawing" Target="../drawings/drawing19.xml" Id="rId1"></Relationship><Relationship Target="../comments20.xml" Type="http://schemas.openxmlformats.org/officeDocument/2006/relationships/comments" Id="rId2"></Relationship><Relationship Target="../drawings/vmlDrawing20.vml" Type="http://schemas.openxmlformats.org/officeDocument/2006/relationships/vmlDrawing" Id="rId3"></Relationship></Relationships>
</file>

<file path=xl/worksheets/_rels/sheet20.xml.rels><?xml version="1.0" encoding="UTF-8" standalone="yes"?>
<Relationships xmlns="http://schemas.openxmlformats.org/package/2006/relationships"><Relationship Type="http://schemas.openxmlformats.org/officeDocument/2006/relationships/drawing" Target="../drawings/drawing20.xml" Id="rId1"></Relationship><Relationship Target="../comments21.xml" Type="http://schemas.openxmlformats.org/officeDocument/2006/relationships/comments" Id="rId2"></Relationship><Relationship Target="../drawings/vmlDrawing21.vml" Type="http://schemas.openxmlformats.org/officeDocument/2006/relationships/vmlDrawing" Id="rId3"></Relationship></Relationships>
</file>

<file path=xl/worksheets/_rels/sheet21.xml.rels><?xml version="1.0" encoding="UTF-8" standalone="yes"?>
<Relationships xmlns="http://schemas.openxmlformats.org/package/2006/relationships"><Relationship Type="http://schemas.openxmlformats.org/officeDocument/2006/relationships/drawing" Target="../drawings/drawing21.xml" Id="rId1"></Relationship><Relationship Target="../comments22.xml" Type="http://schemas.openxmlformats.org/officeDocument/2006/relationships/comments" Id="rId2"></Relationship><Relationship Target="../drawings/vmlDrawing22.vml" Type="http://schemas.openxmlformats.org/officeDocument/2006/relationships/vmlDrawing" Id="rId3"></Relationship></Relationships>
</file>

<file path=xl/worksheets/_rels/sheet2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86"/>
    <col customWidth="1" min="2" max="6" width="8.71"/>
  </cols>
  <sheetData>
    <row r="1">
      <c r="A1" s="1" t="s">
        <v>0</v>
      </c>
    </row>
    <row r="2">
      <c r="A2" s="1" t="s">
        <v>1</v>
      </c>
    </row>
    <row r="3">
      <c r="A3" s="2"/>
    </row>
    <row r="4">
      <c r="A4" s="2" t="s">
        <v>2</v>
      </c>
      <c r="B4" s="3"/>
    </row>
    <row r="5">
      <c r="A5" s="2" t="s">
        <v>3</v>
      </c>
      <c r="B5" s="3"/>
    </row>
    <row r="6">
      <c r="A6" s="4" t="s">
        <v>4</v>
      </c>
      <c r="B6" s="3"/>
    </row>
    <row r="7">
      <c r="A7" s="2" t="s">
        <v>5</v>
      </c>
      <c r="B7" s="3"/>
    </row>
    <row r="8">
      <c r="A8" s="2" t="s">
        <v>6</v>
      </c>
      <c r="B8" s="3"/>
    </row>
    <row r="9">
      <c r="A9" s="2" t="s">
        <v>7</v>
      </c>
      <c r="B9" s="3"/>
    </row>
    <row r="10">
      <c r="A10" s="2" t="s">
        <v>8</v>
      </c>
      <c r="B10" s="3"/>
    </row>
    <row r="11">
      <c r="A11" s="2" t="s">
        <v>9</v>
      </c>
      <c r="B11" s="3"/>
    </row>
    <row r="12">
      <c r="A12" s="5"/>
    </row>
    <row r="13">
      <c r="A13" s="1" t="s">
        <v>10</v>
      </c>
    </row>
    <row r="14">
      <c r="A14" s="5"/>
    </row>
    <row r="15">
      <c r="A15" s="6" t="s">
        <v>11</v>
      </c>
    </row>
    <row r="16">
      <c r="A16" s="1"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5"/>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637.0</v>
      </c>
      <c r="C2" s="7" t="s">
        <v>22</v>
      </c>
      <c r="D2" s="7" t="s">
        <v>23</v>
      </c>
      <c r="F2" s="7" t="s">
        <v>24</v>
      </c>
      <c r="G2" s="8">
        <f t="shared" ref="G2:G19" si="1">DATE(YEAR(A2),MONTH(A2),DAY(A2) + IF(F2 = "Y", 14, 7))</f>
        <v>44354</v>
      </c>
      <c r="H2" s="8">
        <f>DATE(YEAR(G2),MONTH(G2),DAY(G2)+7)</f>
        <v>44361</v>
      </c>
      <c r="I2" s="8">
        <f>DATE(YEAR(H2),MONTH(H2),DAY(H2)+14)</f>
        <v>44375</v>
      </c>
      <c r="J2" s="8">
        <f>DATE(YEAR(I2),MONTH(I2),DAY(I2)+28)</f>
        <v>44403</v>
      </c>
    </row>
    <row r="3">
      <c r="A3" s="8"/>
      <c r="B3" s="7">
        <v>111.0</v>
      </c>
      <c r="C3" s="7" t="s">
        <v>25</v>
      </c>
      <c r="D3" s="7" t="s">
        <v>23</v>
      </c>
      <c r="G3" s="8">
        <f t="shared" si="1"/>
        <v>693968</v>
      </c>
    </row>
    <row r="4">
      <c r="B4" s="7">
        <v>133.0</v>
      </c>
      <c r="C4" s="7" t="s">
        <v>26</v>
      </c>
      <c r="D4" s="7" t="s">
        <v>27</v>
      </c>
      <c r="G4" s="8">
        <f t="shared" si="1"/>
        <v>693968</v>
      </c>
    </row>
    <row r="5">
      <c r="B5" s="7">
        <v>417.0</v>
      </c>
      <c r="C5" s="7" t="s">
        <v>28</v>
      </c>
      <c r="D5" s="7" t="s">
        <v>27</v>
      </c>
      <c r="G5" s="8">
        <f t="shared" si="1"/>
        <v>693968</v>
      </c>
    </row>
    <row r="6">
      <c r="B6" s="7">
        <v>238.0</v>
      </c>
      <c r="C6" s="7" t="s">
        <v>29</v>
      </c>
      <c r="D6" s="7" t="s">
        <v>27</v>
      </c>
      <c r="G6" s="8">
        <f t="shared" si="1"/>
        <v>693968</v>
      </c>
    </row>
    <row r="7">
      <c r="B7" s="7">
        <v>200.0</v>
      </c>
      <c r="C7" s="7" t="s">
        <v>30</v>
      </c>
      <c r="D7" s="7" t="s">
        <v>27</v>
      </c>
      <c r="G7" s="8">
        <f t="shared" si="1"/>
        <v>693968</v>
      </c>
    </row>
    <row r="8">
      <c r="B8" s="7">
        <v>261.0</v>
      </c>
      <c r="C8" s="7" t="s">
        <v>31</v>
      </c>
      <c r="D8" s="7" t="s">
        <v>27</v>
      </c>
      <c r="G8" s="8">
        <f t="shared" si="1"/>
        <v>693968</v>
      </c>
    </row>
    <row r="9">
      <c r="B9" s="7">
        <v>323.0</v>
      </c>
      <c r="C9" s="3" t="s">
        <v>32</v>
      </c>
      <c r="D9" s="7" t="s">
        <v>27</v>
      </c>
      <c r="G9" s="8">
        <f t="shared" si="1"/>
        <v>693968</v>
      </c>
    </row>
    <row r="10">
      <c r="B10" s="7">
        <v>207.0</v>
      </c>
      <c r="C10" s="3" t="s">
        <v>33</v>
      </c>
      <c r="D10" s="7" t="s">
        <v>27</v>
      </c>
      <c r="G10" s="8">
        <f t="shared" si="1"/>
        <v>693968</v>
      </c>
    </row>
    <row r="11">
      <c r="B11" s="7">
        <v>210.0</v>
      </c>
      <c r="C11" s="7" t="s">
        <v>34</v>
      </c>
      <c r="D11" s="7" t="s">
        <v>27</v>
      </c>
      <c r="G11" s="8">
        <f t="shared" si="1"/>
        <v>693968</v>
      </c>
    </row>
    <row r="12">
      <c r="B12" s="7">
        <v>310.0</v>
      </c>
      <c r="C12" s="3" t="s">
        <v>35</v>
      </c>
      <c r="D12" s="3" t="s">
        <v>27</v>
      </c>
      <c r="G12" s="8">
        <f t="shared" si="1"/>
        <v>693968</v>
      </c>
    </row>
    <row r="13">
      <c r="B13" s="7">
        <v>107.0</v>
      </c>
      <c r="C13" s="7" t="s">
        <v>36</v>
      </c>
      <c r="D13" s="3" t="s">
        <v>27</v>
      </c>
      <c r="G13" s="8">
        <f t="shared" si="1"/>
        <v>693968</v>
      </c>
    </row>
    <row r="14">
      <c r="B14" s="7">
        <v>102.0</v>
      </c>
      <c r="C14" s="7" t="s">
        <v>37</v>
      </c>
      <c r="D14" s="3" t="s">
        <v>27</v>
      </c>
      <c r="G14" s="8">
        <f t="shared" si="1"/>
        <v>693968</v>
      </c>
    </row>
    <row r="15">
      <c r="B15" s="7">
        <v>103.0</v>
      </c>
      <c r="C15" s="7" t="s">
        <v>38</v>
      </c>
      <c r="D15" s="3" t="s">
        <v>27</v>
      </c>
      <c r="G15" s="8">
        <f t="shared" si="1"/>
        <v>693968</v>
      </c>
    </row>
    <row r="16">
      <c r="B16" s="7">
        <v>116.0</v>
      </c>
      <c r="C16" s="7" t="s">
        <v>39</v>
      </c>
      <c r="D16" s="3" t="s">
        <v>27</v>
      </c>
      <c r="G16" s="8">
        <f t="shared" si="1"/>
        <v>693968</v>
      </c>
    </row>
    <row r="17">
      <c r="B17" s="7">
        <v>117.0</v>
      </c>
      <c r="C17" s="7" t="s">
        <v>40</v>
      </c>
      <c r="D17" s="3" t="s">
        <v>27</v>
      </c>
      <c r="G17" s="8">
        <f t="shared" si="1"/>
        <v>693968</v>
      </c>
    </row>
    <row r="18">
      <c r="B18" s="7">
        <v>199.0</v>
      </c>
      <c r="C18" s="7" t="s">
        <v>41</v>
      </c>
      <c r="D18" s="3" t="s">
        <v>27</v>
      </c>
      <c r="G18" s="8">
        <f t="shared" si="1"/>
        <v>693968</v>
      </c>
    </row>
    <row r="19">
      <c r="B19" s="7">
        <v>863.0</v>
      </c>
      <c r="C19" s="7" t="s">
        <v>42</v>
      </c>
      <c r="D19" s="3" t="s">
        <v>27</v>
      </c>
      <c r="G19" s="8">
        <f t="shared" si="1"/>
        <v>693968</v>
      </c>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79.0</v>
      </c>
      <c r="C2" s="3" t="s">
        <v>43</v>
      </c>
      <c r="D2" s="3" t="s">
        <v>27</v>
      </c>
      <c r="F2" s="7" t="s">
        <v>24</v>
      </c>
      <c r="G2" s="8">
        <f>DATE(YEAR(A2),MONTH(A2),DAY(A2) + IF(F2 = "Y", 14, 7))</f>
        <v>44354</v>
      </c>
      <c r="H2" s="8">
        <f>DATE(YEAR(G2),MONTH(G2),DAY(G2)+7)</f>
        <v>44361</v>
      </c>
      <c r="I2" s="8">
        <f>DATE(YEAR(H2),MONTH(H2),DAY(H2)+14)</f>
        <v>44375</v>
      </c>
      <c r="J2" s="8">
        <f>DATE(YEAR(I2),MONTH(I2),DAY(I2)+28)</f>
        <v>44403</v>
      </c>
    </row>
    <row r="3">
      <c r="B3" s="7">
        <v>784.0</v>
      </c>
      <c r="C3" s="7" t="s">
        <v>44</v>
      </c>
      <c r="D3" s="7" t="s">
        <v>27</v>
      </c>
      <c r="G3" s="8"/>
    </row>
    <row r="4">
      <c r="B4" s="7">
        <v>78.0</v>
      </c>
      <c r="C4" s="7" t="s">
        <v>45</v>
      </c>
      <c r="D4" s="7" t="s">
        <v>27</v>
      </c>
      <c r="G4" s="8"/>
    </row>
    <row r="5">
      <c r="B5" s="7">
        <v>90.0</v>
      </c>
      <c r="C5" s="7" t="s">
        <v>46</v>
      </c>
      <c r="D5" s="7" t="s">
        <v>27</v>
      </c>
      <c r="G5" s="8"/>
    </row>
    <row r="6">
      <c r="B6" s="7">
        <v>46.0</v>
      </c>
      <c r="C6" s="7" t="s">
        <v>47</v>
      </c>
      <c r="D6" s="7" t="s">
        <v>27</v>
      </c>
      <c r="G6" s="8"/>
    </row>
    <row r="7">
      <c r="B7" s="7">
        <v>47.0</v>
      </c>
      <c r="C7" s="7" t="s">
        <v>48</v>
      </c>
      <c r="D7" s="7" t="s">
        <v>27</v>
      </c>
      <c r="G7" s="8"/>
    </row>
    <row r="8">
      <c r="B8" s="7">
        <v>77.0</v>
      </c>
      <c r="C8" s="7" t="s">
        <v>49</v>
      </c>
      <c r="D8" s="7" t="s">
        <v>27</v>
      </c>
      <c r="G8" s="8"/>
    </row>
    <row r="9">
      <c r="B9" s="7">
        <v>39.0</v>
      </c>
      <c r="C9" s="7" t="s">
        <v>50</v>
      </c>
      <c r="D9" s="7" t="s">
        <v>27</v>
      </c>
      <c r="G9" s="8"/>
    </row>
    <row r="10">
      <c r="B10" s="7">
        <v>40.0</v>
      </c>
      <c r="C10" s="7" t="s">
        <v>51</v>
      </c>
      <c r="D10" s="7" t="s">
        <v>27</v>
      </c>
      <c r="G10" s="8"/>
    </row>
    <row r="11">
      <c r="B11" s="7">
        <v>216.0</v>
      </c>
      <c r="C11" s="7" t="s">
        <v>52</v>
      </c>
      <c r="D11" s="7" t="s">
        <v>27</v>
      </c>
      <c r="G11" s="8"/>
    </row>
    <row r="12">
      <c r="B12" s="7">
        <v>22.0</v>
      </c>
      <c r="C12" s="7" t="s">
        <v>53</v>
      </c>
      <c r="D12" s="7" t="s">
        <v>27</v>
      </c>
      <c r="G12" s="8"/>
    </row>
    <row r="13">
      <c r="B13" s="7">
        <v>131.0</v>
      </c>
      <c r="C13" s="7" t="s">
        <v>54</v>
      </c>
      <c r="D13" s="7" t="s">
        <v>27</v>
      </c>
      <c r="G13" s="8"/>
    </row>
    <row r="14">
      <c r="B14" s="7">
        <v>17.0</v>
      </c>
      <c r="C14" s="7" t="s">
        <v>55</v>
      </c>
      <c r="D14" s="7" t="s">
        <v>27</v>
      </c>
      <c r="G14" s="8"/>
    </row>
    <row r="15">
      <c r="B15" s="7">
        <v>320.0</v>
      </c>
      <c r="C15" s="7" t="s">
        <v>56</v>
      </c>
      <c r="D15" s="7" t="s">
        <v>27</v>
      </c>
      <c r="G15" s="8"/>
    </row>
    <row r="16">
      <c r="B16" s="7">
        <v>37.0</v>
      </c>
      <c r="C16" s="7" t="s">
        <v>57</v>
      </c>
      <c r="D16" s="7" t="s">
        <v>58</v>
      </c>
      <c r="G16" s="8"/>
    </row>
    <row r="17">
      <c r="B17" s="7">
        <v>51.0</v>
      </c>
      <c r="C17" s="7" t="s">
        <v>59</v>
      </c>
      <c r="D17" s="7" t="s">
        <v>58</v>
      </c>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704.0</v>
      </c>
      <c r="C2" s="7" t="s">
        <v>60</v>
      </c>
      <c r="D2" s="3" t="s">
        <v>23</v>
      </c>
      <c r="F2" s="7" t="s">
        <v>24</v>
      </c>
      <c r="G2" s="8">
        <f>DATE(YEAR(A2),MONTH(A2),DAY(A2) + IF(F2 = "Y", 14, 7))</f>
        <v>44354</v>
      </c>
      <c r="H2" s="8">
        <f>DATE(YEAR(G2),MONTH(G2),DAY(G2)+7)</f>
        <v>44361</v>
      </c>
      <c r="I2" s="8">
        <f>DATE(YEAR(H2),MONTH(H2),DAY(H2)+14)</f>
        <v>44375</v>
      </c>
      <c r="J2" s="8">
        <f>DATE(YEAR(I2),MONTH(I2),DAY(I2)+28)</f>
        <v>44403</v>
      </c>
    </row>
    <row r="3">
      <c r="B3" s="7">
        <v>744.0</v>
      </c>
      <c r="C3" s="7" t="s">
        <v>61</v>
      </c>
      <c r="D3" s="3" t="s">
        <v>23</v>
      </c>
      <c r="G3" s="8"/>
    </row>
    <row r="4">
      <c r="B4" s="7">
        <v>852.0</v>
      </c>
      <c r="C4" s="3" t="s">
        <v>62</v>
      </c>
      <c r="D4" s="3" t="s">
        <v>23</v>
      </c>
      <c r="G4" s="8"/>
    </row>
    <row r="5">
      <c r="B5" s="7">
        <v>287.0</v>
      </c>
      <c r="C5" s="3" t="s">
        <v>63</v>
      </c>
      <c r="D5" s="3" t="s">
        <v>27</v>
      </c>
      <c r="G5" s="8"/>
    </row>
    <row r="6">
      <c r="B6" s="7">
        <v>378.0</v>
      </c>
      <c r="C6" s="7" t="s">
        <v>64</v>
      </c>
      <c r="D6" s="3" t="s">
        <v>27</v>
      </c>
      <c r="G6" s="8"/>
    </row>
    <row r="7">
      <c r="B7" s="7">
        <v>153.0</v>
      </c>
      <c r="C7" s="3" t="s">
        <v>65</v>
      </c>
      <c r="D7" s="3" t="s">
        <v>27</v>
      </c>
      <c r="G7" s="8"/>
    </row>
    <row r="8">
      <c r="B8" s="7">
        <v>162.0</v>
      </c>
      <c r="C8" s="3" t="s">
        <v>66</v>
      </c>
      <c r="D8" s="3" t="s">
        <v>27</v>
      </c>
      <c r="G8" s="8"/>
    </row>
    <row r="9">
      <c r="B9" s="7">
        <v>33.0</v>
      </c>
      <c r="C9" s="7" t="s">
        <v>67</v>
      </c>
      <c r="D9" s="3" t="s">
        <v>27</v>
      </c>
      <c r="G9" s="8"/>
    </row>
    <row r="10">
      <c r="B10" s="7">
        <v>81.0</v>
      </c>
      <c r="C10" s="3" t="s">
        <v>68</v>
      </c>
      <c r="D10" s="3" t="s">
        <v>27</v>
      </c>
      <c r="G10" s="8"/>
    </row>
    <row r="11">
      <c r="B11" s="7">
        <v>74.0</v>
      </c>
      <c r="C11" s="7" t="s">
        <v>69</v>
      </c>
      <c r="D11" s="3" t="s">
        <v>27</v>
      </c>
      <c r="G11" s="8"/>
    </row>
    <row r="12">
      <c r="B12" s="7">
        <v>240.0</v>
      </c>
      <c r="C12" s="3" t="s">
        <v>70</v>
      </c>
      <c r="D12" s="3" t="s">
        <v>27</v>
      </c>
      <c r="G12" s="8"/>
    </row>
    <row r="13">
      <c r="B13" s="7">
        <v>658.0</v>
      </c>
      <c r="C13" s="7" t="s">
        <v>71</v>
      </c>
      <c r="D13" s="3" t="s">
        <v>27</v>
      </c>
      <c r="G13" s="8"/>
    </row>
    <row r="14">
      <c r="B14" s="7">
        <v>327.0</v>
      </c>
      <c r="C14" s="7" t="s">
        <v>72</v>
      </c>
      <c r="D14" s="3" t="s">
        <v>58</v>
      </c>
      <c r="G14" s="8"/>
    </row>
    <row r="15">
      <c r="B15" s="7">
        <v>4.0</v>
      </c>
      <c r="C15" s="7" t="s">
        <v>73</v>
      </c>
      <c r="D15" s="3" t="s">
        <v>58</v>
      </c>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268.0</v>
      </c>
      <c r="C2" s="7" t="s">
        <v>74</v>
      </c>
      <c r="D2" s="7" t="s">
        <v>23</v>
      </c>
      <c r="F2" s="7" t="s">
        <v>24</v>
      </c>
      <c r="G2" s="8">
        <f>DATE(YEAR(A2),MONTH(A2),DAY(A2) + IF(F2 = "Y", 14, 7))</f>
        <v>44354</v>
      </c>
      <c r="H2" s="8">
        <f>DATE(YEAR(G2),MONTH(G2),DAY(G2)+7)</f>
        <v>44361</v>
      </c>
      <c r="I2" s="8">
        <f>DATE(YEAR(H2),MONTH(H2),DAY(H2)+14)</f>
        <v>44375</v>
      </c>
      <c r="J2" s="8">
        <f>DATE(YEAR(I2),MONTH(I2),DAY(I2)+28)</f>
        <v>44403</v>
      </c>
    </row>
    <row r="3">
      <c r="B3" s="7">
        <v>136.0</v>
      </c>
      <c r="C3" s="7" t="s">
        <v>75</v>
      </c>
      <c r="D3" s="7" t="s">
        <v>23</v>
      </c>
      <c r="G3" s="8"/>
    </row>
    <row r="4">
      <c r="G4" s="8"/>
    </row>
    <row r="5">
      <c r="G5" s="8"/>
    </row>
    <row r="6">
      <c r="G6" s="8"/>
    </row>
    <row r="7">
      <c r="G7" s="8"/>
    </row>
    <row r="8">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895.0</v>
      </c>
      <c r="C2" s="7" t="s">
        <v>76</v>
      </c>
      <c r="D2" s="3" t="s">
        <v>58</v>
      </c>
      <c r="F2" s="7" t="s">
        <v>24</v>
      </c>
      <c r="G2" s="8">
        <f>DATE(YEAR(A2),MONTH(A2),DAY(A2) + IF(F2 = "Y", 14, 7))</f>
        <v>44354</v>
      </c>
      <c r="H2" s="8">
        <f>DATE(YEAR(G2),MONTH(G2),DAY(G2)+7)</f>
        <v>44361</v>
      </c>
      <c r="I2" s="8">
        <f>DATE(YEAR(H2),MONTH(H2),DAY(H2)+14)</f>
        <v>44375</v>
      </c>
      <c r="J2" s="8">
        <f>DATE(YEAR(I2),MONTH(I2),DAY(I2)+28)</f>
        <v>44403</v>
      </c>
    </row>
    <row r="3">
      <c r="G3" s="8"/>
    </row>
    <row r="4">
      <c r="G4" s="8"/>
    </row>
    <row r="5">
      <c r="G5" s="8"/>
    </row>
    <row r="6">
      <c r="G6" s="8"/>
    </row>
    <row r="7">
      <c r="G7" s="8"/>
    </row>
    <row r="8">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111.0</v>
      </c>
      <c r="C2" s="7" t="s">
        <v>25</v>
      </c>
      <c r="D2" s="7" t="s">
        <v>23</v>
      </c>
      <c r="F2" s="7" t="s">
        <v>24</v>
      </c>
      <c r="G2" s="8">
        <f>DATE(YEAR(A2),MONTH(A2),DAY(A2) + IF(F2 = "Y", 14, 7))</f>
        <v>44354</v>
      </c>
      <c r="H2" s="8">
        <f>DATE(YEAR(G2),MONTH(G2),DAY(G2)+7)</f>
        <v>44361</v>
      </c>
      <c r="I2" s="8">
        <f>DATE(YEAR(H2),MONTH(H2),DAY(H2)+14)</f>
        <v>44375</v>
      </c>
      <c r="J2" s="8">
        <f>DATE(YEAR(I2),MONTH(I2),DAY(I2)+28)</f>
        <v>44403</v>
      </c>
    </row>
    <row r="3">
      <c r="B3" s="7">
        <v>100.0</v>
      </c>
      <c r="C3" s="7" t="s">
        <v>77</v>
      </c>
      <c r="D3" s="7" t="s">
        <v>23</v>
      </c>
      <c r="G3" s="8"/>
    </row>
    <row r="4">
      <c r="B4" s="7">
        <v>112.0</v>
      </c>
      <c r="C4" s="7" t="s">
        <v>78</v>
      </c>
      <c r="D4" s="7" t="s">
        <v>23</v>
      </c>
      <c r="G4" s="8"/>
    </row>
    <row r="5">
      <c r="B5" s="7">
        <v>543.0</v>
      </c>
      <c r="C5" s="7" t="s">
        <v>79</v>
      </c>
      <c r="D5" s="7" t="s">
        <v>23</v>
      </c>
      <c r="G5" s="8"/>
    </row>
    <row r="6">
      <c r="B6" s="7">
        <v>617.0</v>
      </c>
      <c r="C6" s="7" t="s">
        <v>80</v>
      </c>
      <c r="D6" s="7" t="s">
        <v>23</v>
      </c>
      <c r="G6" s="8"/>
    </row>
    <row r="7">
      <c r="B7" s="7">
        <v>104.0</v>
      </c>
      <c r="C7" s="7" t="s">
        <v>81</v>
      </c>
      <c r="D7" s="7" t="s">
        <v>23</v>
      </c>
      <c r="G7" s="8"/>
    </row>
    <row r="8">
      <c r="B8" s="7">
        <v>235.0</v>
      </c>
      <c r="C8" s="7" t="s">
        <v>82</v>
      </c>
      <c r="D8" s="7" t="s">
        <v>23</v>
      </c>
      <c r="G8" s="8"/>
    </row>
    <row r="9">
      <c r="B9" s="7">
        <v>572.0</v>
      </c>
      <c r="C9" s="7" t="s">
        <v>83</v>
      </c>
      <c r="D9" s="7" t="s">
        <v>23</v>
      </c>
      <c r="G9" s="8"/>
    </row>
    <row r="10">
      <c r="B10" s="7">
        <v>226.0</v>
      </c>
      <c r="C10" s="7" t="s">
        <v>84</v>
      </c>
      <c r="D10" s="7" t="s">
        <v>23</v>
      </c>
      <c r="G10" s="8"/>
    </row>
    <row r="11">
      <c r="B11" s="7">
        <v>494.0</v>
      </c>
      <c r="C11" s="9" t="s">
        <v>85</v>
      </c>
      <c r="D11" s="7" t="s">
        <v>27</v>
      </c>
      <c r="G11" s="8"/>
    </row>
    <row r="12">
      <c r="B12" s="7">
        <v>133.0</v>
      </c>
      <c r="C12" s="7" t="s">
        <v>26</v>
      </c>
      <c r="D12" s="7" t="s">
        <v>27</v>
      </c>
      <c r="G12" s="8"/>
    </row>
    <row r="13">
      <c r="B13" s="7">
        <v>417.0</v>
      </c>
      <c r="C13" s="7" t="s">
        <v>28</v>
      </c>
      <c r="D13" s="7" t="s">
        <v>27</v>
      </c>
      <c r="G13" s="8"/>
    </row>
    <row r="14">
      <c r="B14" s="7">
        <v>200.0</v>
      </c>
      <c r="C14" s="9" t="s">
        <v>30</v>
      </c>
      <c r="D14" s="7" t="s">
        <v>27</v>
      </c>
      <c r="G14" s="8"/>
    </row>
    <row r="15">
      <c r="C15" s="7" t="s">
        <v>31</v>
      </c>
      <c r="D15" s="7" t="s">
        <v>27</v>
      </c>
      <c r="G15" s="8"/>
    </row>
    <row r="16">
      <c r="B16" s="7">
        <v>200.0</v>
      </c>
      <c r="C16" s="7" t="s">
        <v>30</v>
      </c>
      <c r="D16" s="7" t="s">
        <v>27</v>
      </c>
      <c r="G16" s="8"/>
    </row>
    <row r="17">
      <c r="C17" s="7" t="s">
        <v>32</v>
      </c>
      <c r="D17" s="7" t="s">
        <v>27</v>
      </c>
      <c r="G17" s="8"/>
    </row>
    <row r="18">
      <c r="B18" s="7">
        <v>230.0</v>
      </c>
      <c r="C18" s="9" t="s">
        <v>86</v>
      </c>
      <c r="D18" s="7" t="s">
        <v>27</v>
      </c>
      <c r="G18" s="8"/>
    </row>
    <row r="19">
      <c r="B19" s="7">
        <v>207.0</v>
      </c>
      <c r="C19" s="9" t="s">
        <v>33</v>
      </c>
      <c r="D19" s="7" t="s">
        <v>27</v>
      </c>
      <c r="G19" s="8"/>
    </row>
    <row r="20">
      <c r="B20" s="7">
        <v>210.0</v>
      </c>
      <c r="C20" s="7" t="s">
        <v>87</v>
      </c>
      <c r="D20" s="7" t="s">
        <v>27</v>
      </c>
      <c r="G20" s="8"/>
    </row>
    <row r="21" ht="15.75" customHeight="1">
      <c r="B21" s="7">
        <v>199.0</v>
      </c>
      <c r="C21" s="7" t="s">
        <v>41</v>
      </c>
      <c r="D21" s="7" t="s">
        <v>27</v>
      </c>
      <c r="G21" s="8"/>
    </row>
    <row r="22" ht="15.75" customHeight="1">
      <c r="B22" s="7">
        <v>863.0</v>
      </c>
      <c r="C22" s="7" t="s">
        <v>42</v>
      </c>
      <c r="D22" s="7" t="s">
        <v>27</v>
      </c>
      <c r="G22" s="8"/>
    </row>
    <row r="23" ht="15.75" customHeight="1">
      <c r="B23" s="7">
        <v>113.0</v>
      </c>
      <c r="C23" s="7" t="s">
        <v>88</v>
      </c>
      <c r="D23" s="7" t="s">
        <v>27</v>
      </c>
      <c r="G23" s="8"/>
    </row>
    <row r="24" ht="15.75" customHeight="1">
      <c r="B24" s="7">
        <v>437.0</v>
      </c>
      <c r="C24" s="7" t="s">
        <v>89</v>
      </c>
      <c r="D24" s="7" t="s">
        <v>27</v>
      </c>
      <c r="G24" s="8"/>
    </row>
    <row r="25" ht="15.75" customHeight="1">
      <c r="B25" s="7">
        <v>236.0</v>
      </c>
      <c r="C25" s="10" t="s">
        <v>90</v>
      </c>
      <c r="D25" s="7" t="s">
        <v>27</v>
      </c>
      <c r="G25" s="8"/>
    </row>
    <row r="26" ht="15.75" customHeight="1">
      <c r="B26" s="7">
        <v>654.0</v>
      </c>
      <c r="C26" s="10" t="s">
        <v>91</v>
      </c>
      <c r="D26" s="7" t="s">
        <v>27</v>
      </c>
      <c r="G26" s="8"/>
    </row>
    <row r="27" ht="15.75" customHeight="1">
      <c r="B27" s="7">
        <v>662.0</v>
      </c>
      <c r="C27" s="7" t="s">
        <v>92</v>
      </c>
      <c r="D27" s="7" t="s">
        <v>27</v>
      </c>
      <c r="G27" s="8"/>
    </row>
    <row r="28" ht="15.75" customHeight="1">
      <c r="B28" s="7">
        <v>105.0</v>
      </c>
      <c r="C28" s="7" t="s">
        <v>93</v>
      </c>
      <c r="D28" s="7" t="s">
        <v>27</v>
      </c>
      <c r="G28" s="8"/>
    </row>
    <row r="29" ht="15.75" customHeight="1">
      <c r="B29" s="7">
        <v>98.0</v>
      </c>
      <c r="C29" s="7" t="s">
        <v>94</v>
      </c>
      <c r="D29" s="7" t="s">
        <v>27</v>
      </c>
      <c r="G29" s="8"/>
    </row>
    <row r="30" ht="15.75" customHeight="1">
      <c r="B30" s="7">
        <v>124.0</v>
      </c>
      <c r="C30" s="7" t="s">
        <v>95</v>
      </c>
      <c r="D30" s="7" t="s">
        <v>58</v>
      </c>
      <c r="G30" s="8"/>
    </row>
    <row r="31" ht="15.75" customHeight="1">
      <c r="B31" s="7">
        <v>212.0</v>
      </c>
      <c r="C31" s="7" t="s">
        <v>96</v>
      </c>
      <c r="D31" s="7" t="s">
        <v>58</v>
      </c>
      <c r="G31" s="8"/>
    </row>
    <row r="32" ht="15.75" customHeight="1">
      <c r="B32" s="7">
        <v>1203.0</v>
      </c>
      <c r="C32" s="7" t="s">
        <v>97</v>
      </c>
      <c r="D32" s="7" t="s">
        <v>58</v>
      </c>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c r="G221" s="8"/>
    </row>
    <row r="222" ht="15.75" customHeight="1">
      <c r="G222" s="8"/>
    </row>
    <row r="223" ht="15.75" customHeight="1">
      <c r="G223" s="8"/>
    </row>
    <row r="224" ht="15.75" customHeight="1">
      <c r="G224" s="8"/>
    </row>
    <row r="225" ht="15.75" customHeight="1">
      <c r="G225" s="8"/>
    </row>
    <row r="226" ht="15.75" customHeight="1">
      <c r="G226" s="8"/>
    </row>
    <row r="227" ht="15.75" customHeight="1">
      <c r="G227" s="8"/>
    </row>
    <row r="228" ht="15.75" customHeight="1">
      <c r="G228" s="8"/>
    </row>
    <row r="229" ht="15.75" customHeight="1">
      <c r="G229" s="8"/>
    </row>
    <row r="230" ht="15.75" customHeight="1">
      <c r="G230" s="8"/>
    </row>
    <row r="231" ht="15.75" customHeight="1">
      <c r="G231" s="8"/>
    </row>
    <row r="232" ht="15.75" customHeight="1">
      <c r="G232" s="8"/>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208.0</v>
      </c>
      <c r="C2" s="7" t="s">
        <v>98</v>
      </c>
      <c r="D2" s="3" t="s">
        <v>27</v>
      </c>
      <c r="F2" s="7" t="s">
        <v>24</v>
      </c>
      <c r="G2" s="8">
        <f>DATE(YEAR(A2),MONTH(A2),DAY(A2) + IF(F2 = "Y", 14, 7))</f>
        <v>44354</v>
      </c>
      <c r="H2" s="8">
        <f>DATE(YEAR(G2),MONTH(G2),DAY(G2)+7)</f>
        <v>44361</v>
      </c>
      <c r="I2" s="8">
        <f>DATE(YEAR(H2),MONTH(H2),DAY(H2)+14)</f>
        <v>44375</v>
      </c>
      <c r="J2" s="8">
        <f>DATE(YEAR(I2),MONTH(I2),DAY(I2)+28)</f>
        <v>44403</v>
      </c>
    </row>
    <row r="3">
      <c r="B3" s="7">
        <v>297.0</v>
      </c>
      <c r="C3" s="7" t="s">
        <v>99</v>
      </c>
      <c r="D3" s="3" t="s">
        <v>58</v>
      </c>
      <c r="G3" s="8"/>
    </row>
    <row r="4">
      <c r="G4" s="8"/>
    </row>
    <row r="5">
      <c r="G5" s="8"/>
    </row>
    <row r="6">
      <c r="G6" s="8"/>
    </row>
    <row r="7">
      <c r="G7" s="8"/>
    </row>
    <row r="8">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43.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70.0</v>
      </c>
      <c r="C2" s="7" t="s">
        <v>100</v>
      </c>
      <c r="D2" s="3" t="s">
        <v>23</v>
      </c>
      <c r="F2" s="7" t="s">
        <v>24</v>
      </c>
      <c r="G2" s="8">
        <f>DATE(YEAR(A2),MONTH(A2),DAY(A2) + IF(F2 = "Y", 14, 7))</f>
        <v>44354</v>
      </c>
      <c r="H2" s="8">
        <f>DATE(YEAR(G2),MONTH(G2),DAY(G2)+7)</f>
        <v>44361</v>
      </c>
      <c r="I2" s="8">
        <f>DATE(YEAR(H2),MONTH(H2),DAY(H2)+14)</f>
        <v>44375</v>
      </c>
      <c r="J2" s="8">
        <f>DATE(YEAR(I2),MONTH(I2),DAY(I2)+28)</f>
        <v>44403</v>
      </c>
    </row>
    <row r="3">
      <c r="B3" s="7">
        <v>121.0</v>
      </c>
      <c r="C3" s="7" t="s">
        <v>101</v>
      </c>
      <c r="D3" s="3" t="s">
        <v>23</v>
      </c>
      <c r="G3" s="8"/>
    </row>
    <row r="4">
      <c r="B4" s="7">
        <v>53.0</v>
      </c>
      <c r="C4" s="7" t="s">
        <v>102</v>
      </c>
      <c r="D4" s="3" t="s">
        <v>23</v>
      </c>
      <c r="G4" s="8"/>
    </row>
    <row r="5">
      <c r="B5" s="7">
        <v>303.0</v>
      </c>
      <c r="C5" s="7" t="s">
        <v>103</v>
      </c>
      <c r="D5" s="3" t="s">
        <v>23</v>
      </c>
      <c r="G5" s="8"/>
    </row>
    <row r="6">
      <c r="B6" s="7">
        <v>494.0</v>
      </c>
      <c r="C6" s="7" t="s">
        <v>85</v>
      </c>
      <c r="D6" s="3" t="s">
        <v>27</v>
      </c>
      <c r="G6" s="8"/>
    </row>
    <row r="7">
      <c r="B7" s="7">
        <v>198.0</v>
      </c>
      <c r="C7" s="7" t="s">
        <v>104</v>
      </c>
      <c r="D7" s="3" t="s">
        <v>27</v>
      </c>
      <c r="G7" s="8"/>
    </row>
    <row r="8">
      <c r="B8" s="7">
        <v>213.0</v>
      </c>
      <c r="C8" s="7" t="s">
        <v>105</v>
      </c>
      <c r="D8" s="3" t="s">
        <v>27</v>
      </c>
      <c r="G8" s="8"/>
    </row>
    <row r="9">
      <c r="B9" s="7">
        <v>322.0</v>
      </c>
      <c r="C9" s="7" t="s">
        <v>106</v>
      </c>
      <c r="D9" s="3" t="s">
        <v>27</v>
      </c>
      <c r="G9" s="8"/>
    </row>
    <row r="10">
      <c r="B10" s="7">
        <v>152.0</v>
      </c>
      <c r="C10" s="7" t="s">
        <v>107</v>
      </c>
      <c r="D10" s="3" t="s">
        <v>27</v>
      </c>
      <c r="G10" s="8"/>
    </row>
    <row r="11">
      <c r="B11" s="7">
        <v>300.0</v>
      </c>
      <c r="C11" s="7" t="s">
        <v>108</v>
      </c>
      <c r="D11" s="3" t="s">
        <v>27</v>
      </c>
      <c r="G11" s="8"/>
    </row>
    <row r="12">
      <c r="B12" s="7">
        <v>5.0</v>
      </c>
      <c r="C12" s="7" t="s">
        <v>109</v>
      </c>
      <c r="D12" s="3" t="s">
        <v>27</v>
      </c>
      <c r="G12" s="8"/>
    </row>
    <row r="13">
      <c r="B13" s="7">
        <v>139.0</v>
      </c>
      <c r="C13" s="7" t="s">
        <v>110</v>
      </c>
      <c r="D13" s="3" t="s">
        <v>27</v>
      </c>
      <c r="G13" s="8"/>
    </row>
    <row r="14">
      <c r="B14" s="7">
        <v>377.0</v>
      </c>
      <c r="C14" s="7" t="s">
        <v>111</v>
      </c>
      <c r="D14" s="3" t="s">
        <v>27</v>
      </c>
      <c r="G14" s="8"/>
    </row>
    <row r="15">
      <c r="B15" s="7">
        <v>91.0</v>
      </c>
      <c r="C15" s="7" t="s">
        <v>112</v>
      </c>
      <c r="D15" s="3" t="s">
        <v>27</v>
      </c>
      <c r="G15" s="8"/>
    </row>
    <row r="16">
      <c r="B16" s="7">
        <v>62.0</v>
      </c>
      <c r="C16" s="7" t="s">
        <v>113</v>
      </c>
      <c r="D16" s="3" t="s">
        <v>27</v>
      </c>
      <c r="G16" s="8"/>
    </row>
    <row r="17">
      <c r="B17" s="7">
        <v>55.0</v>
      </c>
      <c r="C17" s="7" t="s">
        <v>114</v>
      </c>
      <c r="D17" s="3" t="s">
        <v>27</v>
      </c>
      <c r="G17" s="8"/>
    </row>
    <row r="18">
      <c r="B18" s="7">
        <v>647.0</v>
      </c>
      <c r="C18" s="7" t="s">
        <v>115</v>
      </c>
      <c r="D18" s="3" t="s">
        <v>27</v>
      </c>
      <c r="G18" s="8"/>
    </row>
    <row r="19">
      <c r="B19" s="7">
        <v>673.0</v>
      </c>
      <c r="C19" s="7" t="s">
        <v>116</v>
      </c>
      <c r="D19" s="3" t="s">
        <v>27</v>
      </c>
      <c r="G19" s="8"/>
    </row>
    <row r="20">
      <c r="B20" s="7">
        <v>416.0</v>
      </c>
      <c r="C20" s="7" t="s">
        <v>117</v>
      </c>
      <c r="D20" s="3" t="s">
        <v>27</v>
      </c>
      <c r="G20" s="8"/>
    </row>
    <row r="21" ht="15.75" customHeight="1">
      <c r="B21" s="7">
        <v>698.0</v>
      </c>
      <c r="C21" s="7" t="s">
        <v>118</v>
      </c>
      <c r="D21" s="3" t="s">
        <v>27</v>
      </c>
      <c r="G21" s="8"/>
    </row>
    <row r="22" ht="15.75" customHeight="1">
      <c r="B22" s="7">
        <v>309.0</v>
      </c>
      <c r="C22" s="7" t="s">
        <v>119</v>
      </c>
      <c r="D22" s="3" t="s">
        <v>27</v>
      </c>
      <c r="G22" s="8"/>
    </row>
    <row r="23" ht="15.75" customHeight="1">
      <c r="B23" s="7">
        <v>338.0</v>
      </c>
      <c r="C23" s="7" t="s">
        <v>120</v>
      </c>
      <c r="D23" s="3" t="s">
        <v>27</v>
      </c>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c r="G221" s="8"/>
    </row>
    <row r="222" ht="15.75" customHeight="1">
      <c r="G222" s="8"/>
    </row>
    <row r="223" ht="15.75" customHeight="1">
      <c r="G223" s="8"/>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141.0</v>
      </c>
      <c r="C2" s="7" t="s">
        <v>121</v>
      </c>
      <c r="D2" s="3" t="s">
        <v>23</v>
      </c>
      <c r="F2" s="7" t="s">
        <v>24</v>
      </c>
      <c r="G2" s="8">
        <f>DATE(YEAR(A2),MONTH(A2),DAY(A2) + IF(F2 = "Y", 14, 7))</f>
        <v>44354</v>
      </c>
      <c r="H2" s="8">
        <f>DATE(YEAR(G2),MONTH(G2),DAY(G2)+7)</f>
        <v>44361</v>
      </c>
      <c r="I2" s="8">
        <f>DATE(YEAR(H2),MONTH(H2),DAY(H2)+14)</f>
        <v>44375</v>
      </c>
      <c r="J2" s="8">
        <f>DATE(YEAR(I2),MONTH(I2),DAY(I2)+28)</f>
        <v>44403</v>
      </c>
    </row>
    <row r="3">
      <c r="B3" s="7">
        <v>876.0</v>
      </c>
      <c r="C3" s="7" t="s">
        <v>122</v>
      </c>
      <c r="D3" s="3" t="s">
        <v>23</v>
      </c>
      <c r="G3" s="8"/>
    </row>
    <row r="4">
      <c r="B4" s="7">
        <v>234.0</v>
      </c>
      <c r="C4" s="7" t="s">
        <v>123</v>
      </c>
      <c r="D4" s="3" t="s">
        <v>23</v>
      </c>
      <c r="G4" s="8"/>
    </row>
    <row r="5">
      <c r="B5" s="7">
        <v>203.0</v>
      </c>
      <c r="C5" s="7" t="s">
        <v>124</v>
      </c>
      <c r="D5" s="3" t="s">
        <v>23</v>
      </c>
      <c r="G5" s="8"/>
    </row>
    <row r="6">
      <c r="B6" s="7">
        <v>83.0</v>
      </c>
      <c r="C6" s="7" t="s">
        <v>125</v>
      </c>
      <c r="D6" s="3" t="s">
        <v>23</v>
      </c>
      <c r="G6" s="8"/>
    </row>
    <row r="7">
      <c r="B7" s="7">
        <v>142.0</v>
      </c>
      <c r="C7" s="7" t="s">
        <v>126</v>
      </c>
      <c r="D7" s="3" t="s">
        <v>27</v>
      </c>
      <c r="G7" s="8"/>
    </row>
    <row r="8">
      <c r="B8" s="7">
        <v>2.0</v>
      </c>
      <c r="C8" s="7" t="s">
        <v>127</v>
      </c>
      <c r="D8" s="3" t="s">
        <v>27</v>
      </c>
      <c r="G8" s="8"/>
    </row>
    <row r="9">
      <c r="B9" s="7">
        <v>19.0</v>
      </c>
      <c r="C9" s="7" t="s">
        <v>128</v>
      </c>
      <c r="D9" s="3" t="s">
        <v>27</v>
      </c>
      <c r="G9" s="8"/>
    </row>
    <row r="10">
      <c r="B10" s="7">
        <v>148.0</v>
      </c>
      <c r="C10" s="7" t="s">
        <v>129</v>
      </c>
      <c r="D10" s="3" t="s">
        <v>27</v>
      </c>
      <c r="G10" s="8"/>
    </row>
    <row r="11">
      <c r="B11" s="7">
        <v>143.0</v>
      </c>
      <c r="C11" s="7" t="s">
        <v>130</v>
      </c>
      <c r="D11" s="3" t="s">
        <v>27</v>
      </c>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133.0</v>
      </c>
      <c r="C2" s="7" t="s">
        <v>26</v>
      </c>
      <c r="D2" s="3" t="s">
        <v>27</v>
      </c>
      <c r="F2" s="7" t="s">
        <v>24</v>
      </c>
      <c r="G2" s="8">
        <f>DATE(YEAR(A2),MONTH(A2),DAY(A2) + IF(F2 = "Y", 14, 7))</f>
        <v>44354</v>
      </c>
      <c r="H2" s="8">
        <f>DATE(YEAR(G2),MONTH(G2),DAY(G2)+7)</f>
        <v>44361</v>
      </c>
      <c r="I2" s="8">
        <f>DATE(YEAR(H2),MONTH(H2),DAY(H2)+14)</f>
        <v>44375</v>
      </c>
      <c r="J2" s="8">
        <f>DATE(YEAR(I2),MONTH(I2),DAY(I2)+28)</f>
        <v>44403</v>
      </c>
    </row>
    <row r="3">
      <c r="B3" s="7">
        <v>261.0</v>
      </c>
      <c r="C3" s="7" t="s">
        <v>31</v>
      </c>
      <c r="D3" s="3" t="s">
        <v>27</v>
      </c>
      <c r="G3" s="8"/>
    </row>
    <row r="4">
      <c r="B4" s="7">
        <v>323.0</v>
      </c>
      <c r="C4" s="7" t="s">
        <v>32</v>
      </c>
      <c r="D4" s="3" t="s">
        <v>27</v>
      </c>
      <c r="G4" s="8"/>
    </row>
    <row r="5">
      <c r="B5" s="7">
        <v>207.0</v>
      </c>
      <c r="C5" s="7" t="s">
        <v>33</v>
      </c>
      <c r="D5" s="3" t="s">
        <v>27</v>
      </c>
      <c r="G5" s="8"/>
    </row>
    <row r="6">
      <c r="B6" s="7">
        <v>210.0</v>
      </c>
      <c r="C6" s="7" t="s">
        <v>131</v>
      </c>
      <c r="D6" s="3" t="s">
        <v>27</v>
      </c>
      <c r="G6" s="8"/>
    </row>
    <row r="7">
      <c r="B7" s="7">
        <v>310.0</v>
      </c>
      <c r="C7" s="7" t="s">
        <v>35</v>
      </c>
      <c r="D7" s="3" t="s">
        <v>27</v>
      </c>
      <c r="G7" s="8"/>
    </row>
    <row r="8">
      <c r="B8" s="7">
        <v>444.0</v>
      </c>
      <c r="C8" s="3" t="s">
        <v>132</v>
      </c>
      <c r="D8" s="3" t="s">
        <v>27</v>
      </c>
      <c r="G8" s="8"/>
    </row>
    <row r="9">
      <c r="B9" s="7">
        <v>269.0</v>
      </c>
      <c r="C9" s="7" t="s">
        <v>133</v>
      </c>
      <c r="D9" s="3" t="s">
        <v>58</v>
      </c>
      <c r="G9" s="8"/>
    </row>
    <row r="10">
      <c r="B10" s="7">
        <v>1203.0</v>
      </c>
      <c r="C10" s="7" t="s">
        <v>97</v>
      </c>
      <c r="D10" s="3" t="s">
        <v>58</v>
      </c>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42.86"/>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55.0</v>
      </c>
      <c r="C2" s="7" t="s">
        <v>114</v>
      </c>
      <c r="D2" s="3" t="s">
        <v>27</v>
      </c>
      <c r="F2" s="7" t="s">
        <v>24</v>
      </c>
      <c r="G2" s="8">
        <f>DATE(YEAR(A2),MONTH(A2),DAY(A2) + IF(F2 = "Y", 14, 7))</f>
        <v>44354</v>
      </c>
      <c r="H2" s="8">
        <f>DATE(YEAR(G2),MONTH(G2),DAY(G2)+7)</f>
        <v>44361</v>
      </c>
      <c r="I2" s="8">
        <f>DATE(YEAR(H2),MONTH(H2),DAY(H2)+14)</f>
        <v>44375</v>
      </c>
      <c r="J2" s="8">
        <f>DATE(YEAR(I2),MONTH(I2),DAY(I2)+28)</f>
        <v>44403</v>
      </c>
    </row>
    <row r="3">
      <c r="B3" s="7">
        <v>621.0</v>
      </c>
      <c r="C3" s="7" t="s">
        <v>134</v>
      </c>
      <c r="D3" s="3" t="s">
        <v>27</v>
      </c>
      <c r="G3" s="8"/>
    </row>
    <row r="4">
      <c r="B4" s="7">
        <v>452.0</v>
      </c>
      <c r="C4" s="7" t="s">
        <v>135</v>
      </c>
      <c r="D4" s="3" t="s">
        <v>27</v>
      </c>
      <c r="G4" s="8"/>
    </row>
    <row r="5">
      <c r="B5" s="7">
        <v>767.0</v>
      </c>
      <c r="C5" s="7" t="s">
        <v>136</v>
      </c>
      <c r="D5" s="3" t="s">
        <v>27</v>
      </c>
      <c r="G5" s="8"/>
    </row>
    <row r="6">
      <c r="B6" s="7">
        <v>759.0</v>
      </c>
      <c r="C6" s="7" t="s">
        <v>137</v>
      </c>
      <c r="D6" s="3" t="s">
        <v>58</v>
      </c>
      <c r="G6" s="8"/>
    </row>
    <row r="7">
      <c r="B7" s="7">
        <v>358.0</v>
      </c>
      <c r="C7" s="7" t="s">
        <v>138</v>
      </c>
      <c r="D7" s="3" t="s">
        <v>58</v>
      </c>
      <c r="G7" s="8"/>
    </row>
    <row r="8">
      <c r="B8" s="7">
        <v>630.0</v>
      </c>
      <c r="C8" s="7" t="s">
        <v>139</v>
      </c>
      <c r="D8" s="3" t="s">
        <v>58</v>
      </c>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378.0</v>
      </c>
      <c r="C2" s="7" t="s">
        <v>64</v>
      </c>
      <c r="D2" s="3" t="s">
        <v>27</v>
      </c>
      <c r="F2" s="7" t="s">
        <v>24</v>
      </c>
      <c r="G2" s="8">
        <f>DATE(YEAR(A2),MONTH(A2),DAY(A2) + IF(F2 = "Y", 14, 7))</f>
        <v>44354</v>
      </c>
      <c r="H2" s="8">
        <f>DATE(YEAR(G2),MONTH(G2),DAY(G2)+7)</f>
        <v>44361</v>
      </c>
      <c r="I2" s="8">
        <f>DATE(YEAR(H2),MONTH(H2),DAY(H2)+14)</f>
        <v>44375</v>
      </c>
      <c r="J2" s="8">
        <f>DATE(YEAR(I2),MONTH(I2),DAY(I2)+28)</f>
        <v>44403</v>
      </c>
    </row>
    <row r="3">
      <c r="B3" s="7">
        <v>373.0</v>
      </c>
      <c r="C3" s="7" t="s">
        <v>140</v>
      </c>
      <c r="D3" s="3" t="s">
        <v>27</v>
      </c>
      <c r="G3" s="8"/>
    </row>
    <row r="4">
      <c r="B4" s="7">
        <v>253.0</v>
      </c>
      <c r="C4" s="7" t="s">
        <v>141</v>
      </c>
      <c r="D4" s="3" t="s">
        <v>27</v>
      </c>
      <c r="G4" s="8"/>
    </row>
    <row r="5">
      <c r="B5" s="7">
        <v>621.0</v>
      </c>
      <c r="C5" s="7" t="s">
        <v>134</v>
      </c>
      <c r="D5" s="3" t="s">
        <v>27</v>
      </c>
      <c r="G5" s="8"/>
    </row>
    <row r="6">
      <c r="B6" s="7">
        <v>973.0</v>
      </c>
      <c r="C6" s="7" t="s">
        <v>142</v>
      </c>
      <c r="D6" s="3" t="s">
        <v>27</v>
      </c>
      <c r="G6" s="8"/>
    </row>
    <row r="7">
      <c r="B7" s="7">
        <v>347.0</v>
      </c>
      <c r="C7" s="7" t="s">
        <v>143</v>
      </c>
      <c r="D7" s="3" t="s">
        <v>27</v>
      </c>
      <c r="G7" s="8"/>
    </row>
    <row r="8">
      <c r="B8" s="7">
        <v>451.0</v>
      </c>
      <c r="C8" s="7" t="s">
        <v>144</v>
      </c>
      <c r="D8" s="3" t="s">
        <v>27</v>
      </c>
      <c r="G8" s="8"/>
    </row>
    <row r="9">
      <c r="B9" s="7">
        <v>215.0</v>
      </c>
      <c r="C9" s="7" t="s">
        <v>145</v>
      </c>
      <c r="D9" s="3" t="s">
        <v>27</v>
      </c>
      <c r="G9" s="8"/>
    </row>
    <row r="10">
      <c r="B10" s="7">
        <v>767.0</v>
      </c>
      <c r="C10" s="7" t="s">
        <v>136</v>
      </c>
      <c r="D10" s="3" t="s">
        <v>27</v>
      </c>
      <c r="G10" s="8"/>
    </row>
    <row r="11">
      <c r="B11" s="7">
        <v>23.0</v>
      </c>
      <c r="C11" s="7" t="s">
        <v>146</v>
      </c>
      <c r="D11" s="3" t="s">
        <v>58</v>
      </c>
      <c r="G11" s="8"/>
    </row>
    <row r="12">
      <c r="B12" s="7">
        <v>632.0</v>
      </c>
      <c r="C12" s="7" t="s">
        <v>147</v>
      </c>
      <c r="D12" s="3" t="s">
        <v>58</v>
      </c>
      <c r="G12" s="8"/>
    </row>
    <row r="13">
      <c r="B13" s="7">
        <v>759.0</v>
      </c>
      <c r="C13" s="7" t="s">
        <v>137</v>
      </c>
      <c r="D13" s="3" t="s">
        <v>58</v>
      </c>
      <c r="G13" s="8"/>
    </row>
    <row r="14">
      <c r="B14" s="7">
        <v>358.0</v>
      </c>
      <c r="C14" s="7" t="s">
        <v>138</v>
      </c>
      <c r="D14" s="3" t="s">
        <v>58</v>
      </c>
      <c r="G14" s="8"/>
    </row>
    <row r="15">
      <c r="B15" s="7">
        <v>630.0</v>
      </c>
      <c r="C15" s="7" t="s">
        <v>139</v>
      </c>
      <c r="D15" s="3" t="s">
        <v>58</v>
      </c>
      <c r="G15" s="8"/>
    </row>
    <row r="16">
      <c r="B16" s="7">
        <v>895.0</v>
      </c>
      <c r="C16" s="7" t="s">
        <v>76</v>
      </c>
      <c r="D16" s="3" t="s">
        <v>58</v>
      </c>
      <c r="G16" s="8"/>
    </row>
    <row r="17">
      <c r="B17" s="7">
        <v>295.0</v>
      </c>
      <c r="C17" s="7" t="s">
        <v>148</v>
      </c>
      <c r="D17" s="3" t="s">
        <v>58</v>
      </c>
      <c r="G17" s="8"/>
    </row>
    <row r="18">
      <c r="B18" s="7">
        <v>480.0</v>
      </c>
      <c r="C18" s="3" t="s">
        <v>149</v>
      </c>
      <c r="D18" s="3" t="s">
        <v>58</v>
      </c>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206.0</v>
      </c>
      <c r="C2" s="7" t="s">
        <v>150</v>
      </c>
      <c r="D2" s="3" t="s">
        <v>23</v>
      </c>
      <c r="F2" s="7" t="s">
        <v>24</v>
      </c>
      <c r="G2" s="8">
        <f>DATE(YEAR(A2),MONTH(A2),DAY(A2) + IF(F2 = "Y", 14, 7))</f>
        <v>44354</v>
      </c>
      <c r="H2" s="8">
        <f>DATE(YEAR(G2),MONTH(G2),DAY(G2)+7)</f>
        <v>44361</v>
      </c>
      <c r="I2" s="8">
        <f>DATE(YEAR(H2),MONTH(H2),DAY(H2)+14)</f>
        <v>44375</v>
      </c>
      <c r="J2" s="8">
        <f>DATE(YEAR(I2),MONTH(I2),DAY(I2)+28)</f>
        <v>44403</v>
      </c>
    </row>
    <row r="3">
      <c r="B3" s="7">
        <v>92.0</v>
      </c>
      <c r="C3" s="7" t="s">
        <v>151</v>
      </c>
      <c r="D3" s="3" t="s">
        <v>27</v>
      </c>
      <c r="G3" s="8"/>
    </row>
    <row r="4">
      <c r="B4" s="7">
        <v>61.0</v>
      </c>
      <c r="C4" s="7" t="s">
        <v>152</v>
      </c>
      <c r="D4" s="3" t="s">
        <v>27</v>
      </c>
      <c r="G4" s="8"/>
    </row>
    <row r="5">
      <c r="B5" s="7">
        <v>24.0</v>
      </c>
      <c r="C5" s="7" t="s">
        <v>153</v>
      </c>
      <c r="D5" s="3" t="s">
        <v>27</v>
      </c>
      <c r="G5" s="8"/>
    </row>
    <row r="6">
      <c r="B6" s="7">
        <v>328.0</v>
      </c>
      <c r="C6" s="7" t="s">
        <v>154</v>
      </c>
      <c r="D6" s="3" t="s">
        <v>27</v>
      </c>
      <c r="G6" s="8"/>
    </row>
    <row r="7">
      <c r="B7" s="7">
        <v>25.0</v>
      </c>
      <c r="C7" s="7" t="s">
        <v>155</v>
      </c>
      <c r="D7" s="3" t="s">
        <v>58</v>
      </c>
      <c r="G7" s="8"/>
    </row>
    <row r="8">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252.0</v>
      </c>
      <c r="C2" s="7" t="s">
        <v>156</v>
      </c>
      <c r="D2" s="3" t="s">
        <v>23</v>
      </c>
      <c r="F2" s="7" t="s">
        <v>24</v>
      </c>
      <c r="G2" s="8">
        <f>DATE(YEAR(A2),MONTH(A2),DAY(A2) + IF(F2 = "Y", 14, 7))</f>
        <v>44354</v>
      </c>
      <c r="H2" s="8">
        <f>DATE(YEAR(G2),MONTH(G2),DAY(G2)+7)</f>
        <v>44361</v>
      </c>
      <c r="I2" s="8">
        <f>DATE(YEAR(H2),MONTH(H2),DAY(H2)+14)</f>
        <v>44375</v>
      </c>
      <c r="J2" s="8">
        <f>DATE(YEAR(I2),MONTH(I2),DAY(I2)+28)</f>
        <v>44403</v>
      </c>
    </row>
    <row r="3">
      <c r="B3" s="7">
        <v>56.0</v>
      </c>
      <c r="C3" s="7" t="s">
        <v>157</v>
      </c>
      <c r="D3" s="3" t="s">
        <v>27</v>
      </c>
      <c r="G3" s="8"/>
    </row>
    <row r="4">
      <c r="B4" s="7">
        <v>986.0</v>
      </c>
      <c r="C4" s="7" t="s">
        <v>158</v>
      </c>
      <c r="D4" s="3" t="s">
        <v>27</v>
      </c>
      <c r="G4" s="8"/>
    </row>
    <row r="5">
      <c r="B5" s="7">
        <v>435.0</v>
      </c>
      <c r="C5" s="7" t="s">
        <v>159</v>
      </c>
      <c r="D5" s="3" t="s">
        <v>27</v>
      </c>
      <c r="G5" s="8"/>
    </row>
    <row r="6">
      <c r="B6" s="7">
        <v>253.0</v>
      </c>
      <c r="C6" s="7" t="s">
        <v>141</v>
      </c>
      <c r="D6" s="3" t="s">
        <v>27</v>
      </c>
      <c r="G6" s="8"/>
    </row>
    <row r="7">
      <c r="B7" s="7">
        <v>57.0</v>
      </c>
      <c r="C7" s="7" t="s">
        <v>160</v>
      </c>
      <c r="G7" s="8"/>
    </row>
    <row r="8">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209.0</v>
      </c>
      <c r="C2" s="7" t="s">
        <v>161</v>
      </c>
      <c r="D2" s="3" t="s">
        <v>27</v>
      </c>
      <c r="F2" s="7" t="s">
        <v>24</v>
      </c>
      <c r="G2" s="8">
        <f>DATE(YEAR(A2),MONTH(A2),DAY(A2) + IF(F2 = "Y", 14, 7))</f>
        <v>44354</v>
      </c>
      <c r="H2" s="8">
        <f>DATE(YEAR(G2),MONTH(G2),DAY(G2)+7)</f>
        <v>44361</v>
      </c>
      <c r="I2" s="8">
        <f>DATE(YEAR(H2),MONTH(H2),DAY(H2)+14)</f>
        <v>44375</v>
      </c>
      <c r="J2" s="8">
        <f>DATE(YEAR(I2),MONTH(I2),DAY(I2)+28)</f>
        <v>44403</v>
      </c>
    </row>
    <row r="3">
      <c r="B3" s="7">
        <v>904.0</v>
      </c>
      <c r="C3" s="7" t="s">
        <v>162</v>
      </c>
      <c r="D3" s="3" t="s">
        <v>27</v>
      </c>
      <c r="G3" s="8"/>
    </row>
    <row r="4">
      <c r="B4" s="7">
        <v>567.0</v>
      </c>
      <c r="C4" s="7" t="s">
        <v>163</v>
      </c>
      <c r="D4" s="3" t="s">
        <v>27</v>
      </c>
      <c r="G4" s="8"/>
    </row>
    <row r="5">
      <c r="B5" s="7">
        <v>424.0</v>
      </c>
      <c r="C5" s="7" t="s">
        <v>164</v>
      </c>
      <c r="D5" s="3" t="s">
        <v>27</v>
      </c>
      <c r="G5" s="8"/>
    </row>
    <row r="6">
      <c r="B6" s="7">
        <v>3.0</v>
      </c>
      <c r="C6" s="7" t="s">
        <v>165</v>
      </c>
      <c r="D6" s="3" t="s">
        <v>27</v>
      </c>
      <c r="G6" s="8"/>
    </row>
    <row r="7">
      <c r="B7" s="7">
        <v>239.0</v>
      </c>
      <c r="C7" s="7" t="s">
        <v>166</v>
      </c>
      <c r="D7" s="3" t="s">
        <v>58</v>
      </c>
      <c r="G7" s="8"/>
    </row>
    <row r="8">
      <c r="B8" s="7">
        <v>995.0</v>
      </c>
      <c r="C8" s="7" t="s">
        <v>167</v>
      </c>
      <c r="D8" s="3" t="s">
        <v>58</v>
      </c>
      <c r="G8" s="8"/>
    </row>
    <row r="9">
      <c r="B9" s="7">
        <v>828.0</v>
      </c>
      <c r="C9" s="7" t="s">
        <v>168</v>
      </c>
      <c r="D9" s="3" t="s">
        <v>58</v>
      </c>
      <c r="G9" s="8"/>
    </row>
    <row r="10">
      <c r="B10" s="7">
        <v>76.0</v>
      </c>
      <c r="C10" s="7" t="s">
        <v>169</v>
      </c>
      <c r="D10" s="3" t="s">
        <v>58</v>
      </c>
      <c r="G10" s="8"/>
    </row>
    <row r="11">
      <c r="B11" s="7">
        <v>30.0</v>
      </c>
      <c r="C11" s="7" t="s">
        <v>170</v>
      </c>
      <c r="D11" s="3" t="s">
        <v>58</v>
      </c>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169.0</v>
      </c>
      <c r="C2" s="7" t="s">
        <v>171</v>
      </c>
      <c r="D2" s="3" t="s">
        <v>23</v>
      </c>
      <c r="F2" s="7" t="s">
        <v>24</v>
      </c>
      <c r="G2" s="8">
        <f>DATE(YEAR(A2),MONTH(A2),DAY(A2) + IF(F2 = "Y", 14, 7))</f>
        <v>44354</v>
      </c>
      <c r="H2" s="8">
        <f>DATE(YEAR(G2),MONTH(G2),DAY(G2)+7)</f>
        <v>44361</v>
      </c>
      <c r="I2" s="8">
        <f>DATE(YEAR(H2),MONTH(H2),DAY(H2)+14)</f>
        <v>44375</v>
      </c>
      <c r="J2" s="8">
        <f>DATE(YEAR(I2),MONTH(I2),DAY(I2)+28)</f>
        <v>44403</v>
      </c>
    </row>
    <row r="3">
      <c r="G3" s="8"/>
    </row>
    <row r="4">
      <c r="G4" s="8"/>
    </row>
    <row r="5">
      <c r="G5" s="8"/>
    </row>
    <row r="6">
      <c r="G6" s="8"/>
    </row>
    <row r="7">
      <c r="G7" s="8"/>
    </row>
    <row r="8">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207.0</v>
      </c>
      <c r="C2" s="3" t="s">
        <v>33</v>
      </c>
      <c r="D2" s="3" t="s">
        <v>27</v>
      </c>
      <c r="F2" s="7" t="s">
        <v>24</v>
      </c>
      <c r="G2" s="8">
        <f>DATE(YEAR(A2),MONTH(A2),DAY(A2) + IF(F2 = "Y", 14, 7))</f>
        <v>44354</v>
      </c>
      <c r="H2" s="8">
        <f>DATE(YEAR(G2),MONTH(G2),DAY(G2)+7)</f>
        <v>44361</v>
      </c>
      <c r="I2" s="8">
        <f>DATE(YEAR(H2),MONTH(H2),DAY(H2)+14)</f>
        <v>44375</v>
      </c>
      <c r="J2" s="8">
        <f>DATE(YEAR(I2),MONTH(I2),DAY(I2)+28)</f>
        <v>44403</v>
      </c>
    </row>
    <row r="3">
      <c r="B3" s="7">
        <v>210.0</v>
      </c>
      <c r="C3" s="3" t="s">
        <v>131</v>
      </c>
      <c r="D3" s="3" t="s">
        <v>27</v>
      </c>
      <c r="G3" s="8"/>
    </row>
    <row r="4">
      <c r="B4" s="7">
        <v>310.0</v>
      </c>
      <c r="C4" s="3" t="s">
        <v>35</v>
      </c>
      <c r="D4" s="3" t="s">
        <v>27</v>
      </c>
      <c r="G4" s="8"/>
    </row>
    <row r="5">
      <c r="B5" s="7">
        <v>444.0</v>
      </c>
      <c r="C5" s="3" t="s">
        <v>132</v>
      </c>
      <c r="D5" s="3" t="s">
        <v>27</v>
      </c>
      <c r="G5" s="8"/>
    </row>
    <row r="6">
      <c r="B6" s="7">
        <v>269.0</v>
      </c>
      <c r="C6" s="3" t="s">
        <v>133</v>
      </c>
      <c r="D6" s="3" t="s">
        <v>58</v>
      </c>
      <c r="G6" s="8"/>
    </row>
    <row r="7">
      <c r="B7" s="7">
        <v>1203.0</v>
      </c>
      <c r="C7" s="7" t="s">
        <v>97</v>
      </c>
      <c r="D7" s="3" t="s">
        <v>58</v>
      </c>
      <c r="G7" s="8"/>
    </row>
    <row r="8">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720.0</v>
      </c>
      <c r="C2" s="7" t="s">
        <v>172</v>
      </c>
      <c r="D2" s="3" t="s">
        <v>23</v>
      </c>
      <c r="F2" s="7" t="s">
        <v>24</v>
      </c>
      <c r="G2" s="8">
        <f>DATE(YEAR(A2),MONTH(A2),DAY(A2) + IF(F2 = "Y", 14, 7))</f>
        <v>44354</v>
      </c>
      <c r="H2" s="8">
        <f>DATE(YEAR(G2),MONTH(G2),DAY(G2)+7)</f>
        <v>44361</v>
      </c>
      <c r="I2" s="8">
        <f>DATE(YEAR(H2),MONTH(H2),DAY(H2)+14)</f>
        <v>44375</v>
      </c>
      <c r="J2" s="8">
        <f>DATE(YEAR(I2),MONTH(I2),DAY(I2)+28)</f>
        <v>44403</v>
      </c>
    </row>
    <row r="3">
      <c r="B3" s="7">
        <v>1065.0</v>
      </c>
      <c r="C3" s="7" t="s">
        <v>173</v>
      </c>
      <c r="D3" s="3" t="s">
        <v>23</v>
      </c>
      <c r="G3" s="8"/>
    </row>
    <row r="4">
      <c r="B4" s="7">
        <v>208.0</v>
      </c>
      <c r="C4" s="7" t="s">
        <v>98</v>
      </c>
      <c r="D4" s="3" t="s">
        <v>27</v>
      </c>
      <c r="G4" s="8"/>
    </row>
    <row r="5">
      <c r="B5" s="7">
        <v>421.0</v>
      </c>
      <c r="C5" s="7" t="s">
        <v>174</v>
      </c>
      <c r="D5" s="3" t="s">
        <v>27</v>
      </c>
      <c r="G5" s="8"/>
    </row>
    <row r="6">
      <c r="B6" s="7">
        <v>212.0</v>
      </c>
      <c r="C6" s="7" t="s">
        <v>96</v>
      </c>
      <c r="D6" s="3" t="s">
        <v>58</v>
      </c>
      <c r="G6" s="8"/>
    </row>
    <row r="7">
      <c r="B7" s="7">
        <v>472.0</v>
      </c>
      <c r="C7" s="7" t="s">
        <v>175</v>
      </c>
      <c r="D7" s="3" t="s">
        <v>58</v>
      </c>
      <c r="G7" s="8"/>
    </row>
    <row r="8">
      <c r="B8" s="7">
        <v>745.0</v>
      </c>
      <c r="C8" s="7" t="s">
        <v>176</v>
      </c>
      <c r="D8" s="3" t="s">
        <v>58</v>
      </c>
      <c r="G8" s="8"/>
    </row>
    <row r="9">
      <c r="B9" s="7">
        <v>336.0</v>
      </c>
      <c r="C9" s="7" t="s">
        <v>177</v>
      </c>
      <c r="D9" s="3" t="s">
        <v>58</v>
      </c>
      <c r="G9" s="8"/>
    </row>
    <row r="10">
      <c r="B10" s="7">
        <v>425.0</v>
      </c>
      <c r="C10" s="7" t="s">
        <v>178</v>
      </c>
      <c r="D10" s="3" t="s">
        <v>58</v>
      </c>
      <c r="G10" s="8"/>
    </row>
    <row r="11">
      <c r="B11" s="7">
        <v>642.0</v>
      </c>
      <c r="C11" s="9" t="s">
        <v>179</v>
      </c>
      <c r="D11" s="3" t="s">
        <v>58</v>
      </c>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21.0</v>
      </c>
      <c r="C2" s="7" t="s">
        <v>180</v>
      </c>
      <c r="D2" s="3" t="s">
        <v>23</v>
      </c>
      <c r="F2" s="7" t="s">
        <v>24</v>
      </c>
      <c r="G2" s="8">
        <f>DATE(YEAR(A2),MONTH(A2),DAY(A2) + IF(F2 = "Y", 14, 7))</f>
        <v>44354</v>
      </c>
      <c r="H2" s="8">
        <f>DATE(YEAR(G2),MONTH(G2),DAY(G2)+7)</f>
        <v>44361</v>
      </c>
      <c r="I2" s="8">
        <f>DATE(YEAR(H2),MONTH(H2),DAY(H2)+14)</f>
        <v>44375</v>
      </c>
      <c r="J2" s="8">
        <f>DATE(YEAR(I2),MONTH(I2),DAY(I2)+28)</f>
        <v>44403</v>
      </c>
    </row>
    <row r="3">
      <c r="B3" s="7">
        <v>1.0</v>
      </c>
      <c r="C3" s="7" t="s">
        <v>181</v>
      </c>
      <c r="D3" s="3" t="s">
        <v>23</v>
      </c>
      <c r="G3" s="8"/>
    </row>
    <row r="4">
      <c r="B4" s="7">
        <v>977.0</v>
      </c>
      <c r="C4" s="7" t="s">
        <v>182</v>
      </c>
      <c r="D4" s="3" t="s">
        <v>23</v>
      </c>
      <c r="G4" s="8"/>
    </row>
    <row r="5">
      <c r="B5" s="7">
        <v>844.0</v>
      </c>
      <c r="C5" s="7" t="s">
        <v>183</v>
      </c>
      <c r="D5" s="3" t="s">
        <v>23</v>
      </c>
      <c r="G5" s="8"/>
    </row>
    <row r="6">
      <c r="B6" s="7">
        <v>287.0</v>
      </c>
      <c r="C6" s="7" t="s">
        <v>63</v>
      </c>
      <c r="D6" s="3" t="s">
        <v>27</v>
      </c>
      <c r="G6" s="8"/>
    </row>
    <row r="7">
      <c r="B7" s="7">
        <v>15.0</v>
      </c>
      <c r="C7" s="7" t="s">
        <v>184</v>
      </c>
      <c r="D7" s="3" t="s">
        <v>27</v>
      </c>
      <c r="G7" s="8"/>
    </row>
    <row r="8">
      <c r="B8" s="7">
        <v>16.0</v>
      </c>
      <c r="C8" s="7" t="s">
        <v>185</v>
      </c>
      <c r="D8" s="3" t="s">
        <v>27</v>
      </c>
      <c r="G8" s="8"/>
    </row>
    <row r="9">
      <c r="B9" s="7">
        <v>713.0</v>
      </c>
      <c r="C9" s="7" t="s">
        <v>186</v>
      </c>
      <c r="D9" s="3" t="s">
        <v>27</v>
      </c>
      <c r="G9" s="8"/>
    </row>
    <row r="10">
      <c r="B10" s="7">
        <v>75.0</v>
      </c>
      <c r="C10" s="7" t="s">
        <v>187</v>
      </c>
      <c r="D10" s="3" t="s">
        <v>27</v>
      </c>
      <c r="G10" s="8"/>
    </row>
    <row r="11">
      <c r="B11" s="7">
        <v>11.0</v>
      </c>
      <c r="C11" s="7" t="s">
        <v>188</v>
      </c>
      <c r="D11" s="3" t="s">
        <v>27</v>
      </c>
      <c r="G11" s="8"/>
    </row>
    <row r="12">
      <c r="B12" s="7">
        <v>42.0</v>
      </c>
      <c r="C12" s="7" t="s">
        <v>189</v>
      </c>
      <c r="D12" s="3" t="s">
        <v>58</v>
      </c>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200.0</v>
      </c>
      <c r="C2" s="7" t="s">
        <v>30</v>
      </c>
      <c r="D2" s="3" t="s">
        <v>27</v>
      </c>
      <c r="F2" s="7" t="s">
        <v>24</v>
      </c>
      <c r="G2" s="8">
        <f>DATE(YEAR(A2),MONTH(A2),DAY(A2) + IF(F2 = "Y", 14, 7))</f>
        <v>44354</v>
      </c>
      <c r="H2" s="8">
        <f>DATE(YEAR(G2),MONTH(G2),DAY(G2)+7)</f>
        <v>44361</v>
      </c>
      <c r="I2" s="8">
        <f>DATE(YEAR(H2),MONTH(H2),DAY(H2)+14)</f>
        <v>44375</v>
      </c>
      <c r="J2" s="8">
        <f>DATE(YEAR(I2),MONTH(I2),DAY(I2)+28)</f>
        <v>44403</v>
      </c>
    </row>
    <row r="3">
      <c r="B3" s="7">
        <v>261.0</v>
      </c>
      <c r="C3" s="7" t="s">
        <v>31</v>
      </c>
      <c r="D3" s="3" t="s">
        <v>27</v>
      </c>
      <c r="G3" s="8"/>
    </row>
    <row r="4">
      <c r="B4" s="7">
        <v>323.0</v>
      </c>
      <c r="C4" s="7" t="s">
        <v>32</v>
      </c>
      <c r="D4" s="3" t="s">
        <v>27</v>
      </c>
      <c r="G4" s="8"/>
    </row>
    <row r="5">
      <c r="G5" s="8"/>
    </row>
    <row r="6">
      <c r="G6" s="8"/>
    </row>
    <row r="7">
      <c r="G7" s="8"/>
    </row>
    <row r="8">
      <c r="G8" s="8"/>
    </row>
    <row r="9">
      <c r="G9" s="8"/>
    </row>
    <row r="10">
      <c r="G10" s="8"/>
    </row>
    <row r="11">
      <c r="G11" s="8"/>
    </row>
    <row r="12">
      <c r="G12" s="8"/>
    </row>
    <row r="13">
      <c r="G13" s="8"/>
    </row>
    <row r="14">
      <c r="G14" s="8"/>
    </row>
    <row r="15">
      <c r="G15" s="8"/>
    </row>
    <row r="16">
      <c r="G16" s="8"/>
    </row>
    <row r="17">
      <c r="G17" s="8"/>
    </row>
    <row r="18">
      <c r="G18" s="8"/>
    </row>
    <row r="19">
      <c r="G19" s="8"/>
    </row>
    <row r="20">
      <c r="G20" s="8"/>
    </row>
    <row r="21" ht="15.75" customHeight="1">
      <c r="G21" s="8"/>
    </row>
    <row r="22" ht="15.75" customHeight="1">
      <c r="G22" s="8"/>
    </row>
    <row r="23" ht="15.75" customHeight="1">
      <c r="G23" s="8"/>
    </row>
    <row r="24" ht="15.75" customHeight="1">
      <c r="G24" s="8"/>
    </row>
    <row r="25" ht="15.75" customHeight="1">
      <c r="G25" s="8"/>
    </row>
    <row r="26" ht="15.75" customHeight="1">
      <c r="G26" s="8"/>
    </row>
    <row r="27" ht="15.75" customHeight="1">
      <c r="G27" s="8"/>
    </row>
    <row r="28" ht="15.75" customHeight="1">
      <c r="G28" s="8"/>
    </row>
    <row r="29" ht="15.75" customHeight="1">
      <c r="G29" s="8"/>
    </row>
    <row r="30" ht="15.75" customHeight="1">
      <c r="G30" s="8"/>
    </row>
    <row r="31" ht="15.75" customHeight="1">
      <c r="G31" s="8"/>
    </row>
    <row r="32" ht="15.75" customHeight="1">
      <c r="G32" s="8"/>
    </row>
    <row r="33" ht="15.75" customHeight="1">
      <c r="G33" s="8"/>
    </row>
    <row r="34" ht="15.75" customHeight="1">
      <c r="G34" s="8"/>
    </row>
    <row r="35" ht="15.75" customHeight="1">
      <c r="G35" s="8"/>
    </row>
    <row r="36" ht="15.75" customHeight="1">
      <c r="G36" s="8"/>
    </row>
    <row r="37" ht="15.75" customHeight="1">
      <c r="G37" s="8"/>
    </row>
    <row r="38" ht="15.75" customHeight="1">
      <c r="G38" s="8"/>
    </row>
    <row r="39" ht="15.75" customHeight="1">
      <c r="G39" s="8"/>
    </row>
    <row r="40" ht="15.75" customHeight="1">
      <c r="G40" s="8"/>
    </row>
    <row r="41" ht="15.75" customHeight="1">
      <c r="G41" s="8"/>
    </row>
    <row r="42" ht="15.75" customHeight="1">
      <c r="G42" s="8"/>
    </row>
    <row r="43" ht="15.75" customHeight="1">
      <c r="G43" s="8"/>
    </row>
    <row r="44" ht="15.75" customHeight="1">
      <c r="G44" s="8"/>
    </row>
    <row r="45" ht="15.75" customHeight="1">
      <c r="G45" s="8"/>
    </row>
    <row r="46" ht="15.75" customHeight="1">
      <c r="G46" s="8"/>
    </row>
    <row r="47" ht="15.75" customHeight="1">
      <c r="G47" s="8"/>
    </row>
    <row r="48" ht="15.75" customHeight="1">
      <c r="G48" s="8"/>
    </row>
    <row r="49" ht="15.75" customHeight="1">
      <c r="G49" s="8"/>
    </row>
    <row r="50" ht="15.75" customHeight="1">
      <c r="G50" s="8"/>
    </row>
    <row r="51" ht="15.75" customHeight="1">
      <c r="G51" s="8"/>
    </row>
    <row r="52" ht="15.75" customHeight="1">
      <c r="G52" s="8"/>
    </row>
    <row r="53" ht="15.75" customHeight="1">
      <c r="G53" s="8"/>
    </row>
    <row r="54" ht="15.75" customHeight="1">
      <c r="G54" s="8"/>
    </row>
    <row r="55" ht="15.75" customHeight="1">
      <c r="G55" s="8"/>
    </row>
    <row r="56" ht="15.75" customHeight="1">
      <c r="G56" s="8"/>
    </row>
    <row r="57" ht="15.75" customHeight="1">
      <c r="G57" s="8"/>
    </row>
    <row r="58" ht="15.75" customHeight="1">
      <c r="G58" s="8"/>
    </row>
    <row r="59" ht="15.75" customHeight="1">
      <c r="G59" s="8"/>
    </row>
    <row r="60" ht="15.75" customHeight="1">
      <c r="G60" s="8"/>
    </row>
    <row r="61" ht="15.75" customHeight="1">
      <c r="G61" s="8"/>
    </row>
    <row r="62" ht="15.75" customHeight="1">
      <c r="G62" s="8"/>
    </row>
    <row r="63" ht="15.75" customHeight="1">
      <c r="G63" s="8"/>
    </row>
    <row r="64" ht="15.75" customHeight="1">
      <c r="G64" s="8"/>
    </row>
    <row r="65" ht="15.75" customHeight="1">
      <c r="G65" s="8"/>
    </row>
    <row r="66" ht="15.75" customHeight="1">
      <c r="G66" s="8"/>
    </row>
    <row r="67" ht="15.75" customHeight="1">
      <c r="G67" s="8"/>
    </row>
    <row r="68" ht="15.75" customHeight="1">
      <c r="G68" s="8"/>
    </row>
    <row r="69" ht="15.75" customHeight="1">
      <c r="G69" s="8"/>
    </row>
    <row r="70" ht="15.75" customHeight="1">
      <c r="G70" s="8"/>
    </row>
    <row r="71" ht="15.75" customHeight="1">
      <c r="G71" s="8"/>
    </row>
    <row r="72" ht="15.75" customHeight="1">
      <c r="G72" s="8"/>
    </row>
    <row r="73" ht="15.75" customHeight="1">
      <c r="G73" s="8"/>
    </row>
    <row r="74" ht="15.75" customHeight="1">
      <c r="G74" s="8"/>
    </row>
    <row r="75" ht="15.75" customHeight="1">
      <c r="G75" s="8"/>
    </row>
    <row r="76" ht="15.75" customHeight="1">
      <c r="G76" s="8"/>
    </row>
    <row r="77" ht="15.75" customHeight="1">
      <c r="G77" s="8"/>
    </row>
    <row r="78" ht="15.75" customHeight="1">
      <c r="G78" s="8"/>
    </row>
    <row r="79" ht="15.75" customHeight="1">
      <c r="G79" s="8"/>
    </row>
    <row r="80" ht="15.75" customHeight="1">
      <c r="G80" s="8"/>
    </row>
    <row r="81" ht="15.75" customHeight="1">
      <c r="G81" s="8"/>
    </row>
    <row r="82" ht="15.75" customHeight="1">
      <c r="G82" s="8"/>
    </row>
    <row r="83" ht="15.75" customHeight="1">
      <c r="G83" s="8"/>
    </row>
    <row r="84" ht="15.75" customHeight="1">
      <c r="G84" s="8"/>
    </row>
    <row r="85" ht="15.75" customHeight="1">
      <c r="G85" s="8"/>
    </row>
    <row r="86" ht="15.75" customHeight="1">
      <c r="G86" s="8"/>
    </row>
    <row r="87" ht="15.75" customHeight="1">
      <c r="G87" s="8"/>
    </row>
    <row r="88" ht="15.75" customHeight="1">
      <c r="G88" s="8"/>
    </row>
    <row r="89" ht="15.75" customHeight="1">
      <c r="G89" s="8"/>
    </row>
    <row r="90" ht="15.75" customHeight="1">
      <c r="G90" s="8"/>
    </row>
    <row r="91" ht="15.75" customHeight="1">
      <c r="G91" s="8"/>
    </row>
    <row r="92" ht="15.75" customHeight="1">
      <c r="G92" s="8"/>
    </row>
    <row r="93" ht="15.75" customHeight="1">
      <c r="G93" s="8"/>
    </row>
    <row r="94" ht="15.75" customHeight="1">
      <c r="G94" s="8"/>
    </row>
    <row r="95" ht="15.75" customHeight="1">
      <c r="G95" s="8"/>
    </row>
    <row r="96" ht="15.75" customHeight="1">
      <c r="G96" s="8"/>
    </row>
    <row r="97" ht="15.75" customHeight="1">
      <c r="G97" s="8"/>
    </row>
    <row r="98" ht="15.75" customHeight="1">
      <c r="G98" s="8"/>
    </row>
    <row r="99" ht="15.75" customHeight="1">
      <c r="G99" s="8"/>
    </row>
    <row r="100" ht="15.75" customHeight="1">
      <c r="G100" s="8"/>
    </row>
    <row r="101" ht="15.75" customHeight="1">
      <c r="G101" s="8"/>
    </row>
    <row r="102" ht="15.75" customHeight="1">
      <c r="G102" s="8"/>
    </row>
    <row r="103" ht="15.75" customHeight="1">
      <c r="G103" s="8"/>
    </row>
    <row r="104" ht="15.75" customHeight="1">
      <c r="G104" s="8"/>
    </row>
    <row r="105" ht="15.75" customHeight="1">
      <c r="G105" s="8"/>
    </row>
    <row r="106" ht="15.75" customHeight="1">
      <c r="G106" s="8"/>
    </row>
    <row r="107" ht="15.75" customHeight="1">
      <c r="G107" s="8"/>
    </row>
    <row r="108" ht="15.75" customHeight="1">
      <c r="G108" s="8"/>
    </row>
    <row r="109" ht="15.75" customHeight="1">
      <c r="G109" s="8"/>
    </row>
    <row r="110" ht="15.75" customHeight="1">
      <c r="G110" s="8"/>
    </row>
    <row r="111" ht="15.75" customHeight="1">
      <c r="G111" s="8"/>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dr="http://schemas.openxmlformats.org/drawingml/2006/spreadsheetDrawing">
  <sheetPr>
    <pageSetUpPr/>
  </sheetPr>
  <sheetViews>
    <sheetView workbookViewId="0"/>
  </sheetViews>
  <sheetFormatPr defaultColWidth="14.43" defaultRowHeight="15.0" customHeight="1"/>
  <cols>
    <col customWidth="1" min="1" max="2" width="11.57"/>
    <col customWidth="1" min="3" max="3" width="37.43"/>
    <col customWidth="1" min="4" max="4" width="17.86"/>
    <col customWidth="1" min="5" max="5" width="8.71"/>
    <col customWidth="1" min="6" max="6" width="22.71"/>
    <col customWidth="1" min="7" max="7" width="15.29"/>
    <col customWidth="1" min="8" max="8" width="16.43"/>
    <col customWidth="1" min="9" max="10" width="15.29"/>
    <col customWidth="1" min="11" max="11" width="20.29"/>
  </cols>
  <sheetData>
    <row r="1">
      <c r="A1" s="7" t="s">
        <v>13</v>
      </c>
      <c r="B1" s="7" t="s">
        <v>14</v>
      </c>
      <c r="C1" s="7" t="s">
        <v>15</v>
      </c>
      <c r="D1" s="7" t="s">
        <v>16</v>
      </c>
      <c r="E1" s="7" t="s">
        <v>17</v>
      </c>
      <c r="F1" s="7" t="s">
        <v>18</v>
      </c>
      <c r="G1" s="8" t="s">
        <v>19</v>
      </c>
      <c r="H1" s="7" t="s">
        <v>20</v>
      </c>
      <c r="I1" s="7" t="s">
        <v>19</v>
      </c>
      <c r="J1" s="7" t="s">
        <v>19</v>
      </c>
      <c r="K1" s="7" t="s">
        <v>21</v>
      </c>
    </row>
    <row r="2">
      <c r="A2" s="8">
        <v>44340.0</v>
      </c>
      <c r="B2" s="7">
        <v>217.0</v>
      </c>
      <c r="C2" s="7" t="s">
        <v>190</v>
      </c>
      <c r="D2" s="7" t="s">
        <v>23</v>
      </c>
      <c r="F2" s="7" t="s">
        <v>24</v>
      </c>
      <c r="G2" s="8">
        <f>DATE(YEAR(A2),MONTH(A2),DAY(A2) + IF(F2 = "Y", 14, 7))</f>
        <v>44354</v>
      </c>
      <c r="H2" s="8">
        <f>DATE(YEAR(G2),MONTH(G2),DAY(G2)+7)</f>
        <v>44361</v>
      </c>
      <c r="I2" s="8">
        <f>DATE(YEAR(H2),MONTH(H2),DAY(H2)+14)</f>
        <v>44375</v>
      </c>
      <c r="J2" s="8">
        <f>DATE(YEAR(I2),MONTH(I2),DAY(I2)+28)</f>
        <v>44403</v>
      </c>
    </row>
    <row r="3">
      <c r="B3" s="7">
        <v>268.0</v>
      </c>
      <c r="C3" s="7" t="s">
        <v>74</v>
      </c>
      <c r="D3" s="7" t="s">
        <v>23</v>
      </c>
      <c r="G3" s="8"/>
    </row>
    <row r="4">
      <c r="B4" s="7">
        <v>448.0</v>
      </c>
      <c r="C4" s="7" t="s">
        <v>191</v>
      </c>
      <c r="D4" s="7" t="s">
        <v>27</v>
      </c>
      <c r="G4" s="8"/>
    </row>
    <row r="5">
      <c r="B5" s="7">
        <v>136.0</v>
      </c>
      <c r="C5" s="7" t="s">
        <v>75</v>
      </c>
      <c r="D5" s="7" t="s">
        <v>27</v>
      </c>
      <c r="G5" s="8"/>
    </row>
    <row r="6">
      <c r="B6" s="7">
        <v>238.0</v>
      </c>
      <c r="C6" s="7" t="s">
        <v>29</v>
      </c>
      <c r="D6" s="7" t="s">
        <v>27</v>
      </c>
      <c r="G6" s="8"/>
    </row>
    <row r="7">
      <c r="B7" s="7">
        <v>287.0</v>
      </c>
      <c r="C7" s="7" t="s">
        <v>63</v>
      </c>
      <c r="D7" s="7" t="s">
        <v>27</v>
      </c>
      <c r="G7" s="8"/>
    </row>
    <row r="8">
      <c r="B8" s="7">
        <v>442.0</v>
      </c>
      <c r="C8" s="7" t="s">
        <v>192</v>
      </c>
      <c r="D8" s="7" t="s">
        <v>27</v>
      </c>
      <c r="G8" s="8"/>
    </row>
    <row r="9">
      <c r="B9" s="7">
        <v>73.0</v>
      </c>
      <c r="C9" s="7" t="s">
        <v>193</v>
      </c>
      <c r="D9" s="7" t="s">
        <v>27</v>
      </c>
      <c r="G9" s="8"/>
    </row>
    <row r="10">
      <c r="B10" s="7">
        <v>54.0</v>
      </c>
      <c r="C10" s="7" t="s">
        <v>194</v>
      </c>
      <c r="D10" s="7" t="s">
        <v>27</v>
      </c>
      <c r="G10" s="8"/>
    </row>
    <row r="11">
      <c r="B11" s="7">
        <v>48.0</v>
      </c>
      <c r="C11" s="7" t="s">
        <v>195</v>
      </c>
      <c r="D11" s="7" t="s">
        <v>27</v>
      </c>
      <c r="G11" s="8"/>
    </row>
    <row r="12">
      <c r="B12" s="7">
        <v>41.0</v>
      </c>
      <c r="C12" s="7" t="s">
        <v>196</v>
      </c>
      <c r="D12" s="7" t="s">
        <v>58</v>
      </c>
      <c r="G12" s="8"/>
    </row>
    <row r="13">
      <c r="B13" s="7">
        <v>128.0</v>
      </c>
      <c r="C13" s="7" t="s">
        <v>197</v>
      </c>
      <c r="D13" s="7" t="s">
        <v>58</v>
      </c>
      <c r="G13" s="8"/>
    </row>
    <row r="14">
      <c r="G14" s="8"/>
    </row>
    <row r="15">
      <c r="G15" s="8"/>
    </row>
    <row r="16">
      <c r="G16" s="8"/>
    </row>
    <row r="17">
      <c r="G17" s="8"/>
    </row>
    <row r="18">
      <c r="G18" s="8"/>
    </row>
    <row r="19">
      <c r="G19" s="8"/>
    </row>
    <row r="20">
      <c r="G20" s="8"/>
    </row>
    <row r="21" customHeight="1" ht="15.75">
      <c r="G21" s="8"/>
    </row>
    <row r="22" customHeight="1" ht="15.75">
      <c r="G22" s="8"/>
    </row>
    <row r="23" customHeight="1" ht="15.75">
      <c r="G23" s="8"/>
    </row>
    <row r="24" customHeight="1" ht="15.75">
      <c r="G24" s="8"/>
    </row>
    <row r="25" customHeight="1" ht="15.75">
      <c r="G25" s="8"/>
    </row>
    <row r="26" customHeight="1" ht="15.75">
      <c r="G26" s="8"/>
    </row>
    <row r="27" customHeight="1" ht="15.75">
      <c r="G27" s="8"/>
    </row>
    <row r="28" customHeight="1" ht="15.75">
      <c r="G28" s="8"/>
    </row>
    <row r="29" customHeight="1" ht="15.75">
      <c r="G29" s="8"/>
    </row>
    <row r="30" customHeight="1" ht="15.75">
      <c r="G30" s="8"/>
    </row>
    <row r="31" customHeight="1" ht="15.75">
      <c r="G31" s="8"/>
    </row>
    <row r="32" customHeight="1" ht="15.75">
      <c r="G32" s="8"/>
    </row>
    <row r="33" customHeight="1" ht="15.75">
      <c r="G33" s="8"/>
    </row>
    <row r="34" customHeight="1" ht="15.75">
      <c r="G34" s="8"/>
    </row>
    <row r="35" customHeight="1" ht="15.75">
      <c r="G35" s="8"/>
    </row>
    <row r="36" customHeight="1" ht="15.75">
      <c r="G36" s="8"/>
    </row>
    <row r="37" customHeight="1" ht="15.75">
      <c r="G37" s="8"/>
    </row>
    <row r="38" customHeight="1" ht="15.75">
      <c r="G38" s="8"/>
    </row>
    <row r="39" customHeight="1" ht="15.75">
      <c r="G39" s="8"/>
    </row>
    <row r="40" customHeight="1" ht="15.75">
      <c r="G40" s="8"/>
    </row>
    <row r="41" customHeight="1" ht="15.75">
      <c r="G41" s="8"/>
    </row>
    <row r="42" customHeight="1" ht="15.75">
      <c r="G42" s="8"/>
    </row>
    <row r="43" customHeight="1" ht="15.75">
      <c r="G43" s="8"/>
    </row>
    <row r="44" customHeight="1" ht="15.75">
      <c r="G44" s="8"/>
    </row>
    <row r="45" customHeight="1" ht="15.75">
      <c r="G45" s="8"/>
    </row>
    <row r="46" customHeight="1" ht="15.75">
      <c r="G46" s="8"/>
    </row>
    <row r="47" customHeight="1" ht="15.75">
      <c r="G47" s="8"/>
    </row>
    <row r="48" customHeight="1" ht="15.75">
      <c r="G48" s="8"/>
    </row>
    <row r="49" customHeight="1" ht="15.75">
      <c r="G49" s="8"/>
    </row>
    <row r="50" customHeight="1" ht="15.75">
      <c r="G50" s="8"/>
    </row>
    <row r="51" customHeight="1" ht="15.75">
      <c r="G51" s="8"/>
    </row>
    <row r="52" customHeight="1" ht="15.75">
      <c r="G52" s="8"/>
    </row>
    <row r="53" customHeight="1" ht="15.75">
      <c r="G53" s="8"/>
    </row>
    <row r="54" customHeight="1" ht="15.75">
      <c r="G54" s="8"/>
    </row>
    <row r="55" customHeight="1" ht="15.75">
      <c r="G55" s="8"/>
    </row>
    <row r="56" customHeight="1" ht="15.75">
      <c r="G56" s="8"/>
    </row>
    <row r="57" customHeight="1" ht="15.75">
      <c r="G57" s="8"/>
    </row>
    <row r="58" customHeight="1" ht="15.75">
      <c r="G58" s="8"/>
    </row>
    <row r="59" customHeight="1" ht="15.75">
      <c r="G59" s="8"/>
    </row>
    <row r="60" customHeight="1" ht="15.75">
      <c r="G60" s="8"/>
    </row>
    <row r="61" customHeight="1" ht="15.75">
      <c r="G61" s="8"/>
    </row>
    <row r="62" customHeight="1" ht="15.75">
      <c r="G62" s="8"/>
    </row>
    <row r="63" customHeight="1" ht="15.75">
      <c r="G63" s="8"/>
    </row>
    <row r="64" customHeight="1" ht="15.75">
      <c r="G64" s="8"/>
    </row>
    <row r="65" customHeight="1" ht="15.75">
      <c r="G65" s="8"/>
    </row>
    <row r="66" customHeight="1" ht="15.75">
      <c r="G66" s="8"/>
    </row>
    <row r="67" customHeight="1" ht="15.75">
      <c r="G67" s="8"/>
    </row>
    <row r="68" customHeight="1" ht="15.75">
      <c r="G68" s="8"/>
    </row>
    <row r="69" customHeight="1" ht="15.75">
      <c r="G69" s="8"/>
    </row>
    <row r="70" customHeight="1" ht="15.75">
      <c r="G70" s="8"/>
    </row>
    <row r="71" customHeight="1" ht="15.75">
      <c r="G71" s="8"/>
    </row>
    <row r="72" customHeight="1" ht="15.75">
      <c r="G72" s="8"/>
    </row>
    <row r="73" customHeight="1" ht="15.75">
      <c r="G73" s="8"/>
    </row>
    <row r="74" customHeight="1" ht="15.75">
      <c r="G74" s="8"/>
    </row>
    <row r="75" customHeight="1" ht="15.75">
      <c r="G75" s="8"/>
    </row>
    <row r="76" customHeight="1" ht="15.75">
      <c r="G76" s="8"/>
    </row>
    <row r="77" customHeight="1" ht="15.75">
      <c r="G77" s="8"/>
    </row>
    <row r="78" customHeight="1" ht="15.75">
      <c r="G78" s="8"/>
    </row>
    <row r="79" customHeight="1" ht="15.75">
      <c r="G79" s="8"/>
    </row>
    <row r="80" customHeight="1" ht="15.75">
      <c r="G80" s="8"/>
    </row>
    <row r="81" customHeight="1" ht="15.75">
      <c r="G81" s="8"/>
    </row>
    <row r="82" customHeight="1" ht="15.75">
      <c r="G82" s="8"/>
    </row>
    <row r="83" customHeight="1" ht="15.75">
      <c r="G83" s="8"/>
    </row>
    <row r="84" customHeight="1" ht="15.75">
      <c r="G84" s="8"/>
    </row>
    <row r="85" customHeight="1" ht="15.75">
      <c r="G85" s="8"/>
    </row>
    <row r="86" customHeight="1" ht="15.75">
      <c r="G86" s="8"/>
    </row>
    <row r="87" customHeight="1" ht="15.75">
      <c r="G87" s="8"/>
    </row>
    <row r="88" customHeight="1" ht="15.75">
      <c r="G88" s="8"/>
    </row>
    <row r="89" customHeight="1" ht="15.75">
      <c r="G89" s="8"/>
    </row>
    <row r="90" customHeight="1" ht="15.75">
      <c r="G90" s="8"/>
    </row>
    <row r="91" customHeight="1" ht="15.75">
      <c r="G91" s="8"/>
    </row>
    <row r="92" customHeight="1" ht="15.75">
      <c r="G92" s="8"/>
    </row>
    <row r="93" customHeight="1" ht="15.75">
      <c r="G93" s="8"/>
    </row>
    <row r="94" customHeight="1" ht="15.75">
      <c r="G94" s="8"/>
    </row>
    <row r="95" customHeight="1" ht="15.75">
      <c r="G95" s="8"/>
    </row>
    <row r="96" customHeight="1" ht="15.75">
      <c r="G96" s="8"/>
    </row>
    <row r="97" customHeight="1" ht="15.75">
      <c r="G97" s="8"/>
    </row>
    <row r="98" customHeight="1" ht="15.75">
      <c r="G98" s="8"/>
    </row>
    <row r="99" customHeight="1" ht="15.75">
      <c r="G99" s="8"/>
    </row>
    <row r="100" customHeight="1" ht="15.75">
      <c r="G100" s="8"/>
    </row>
    <row r="101" customHeight="1" ht="15.75">
      <c r="G101" s="8"/>
    </row>
    <row r="102" customHeight="1" ht="15.75">
      <c r="G102" s="8"/>
    </row>
    <row r="103" customHeight="1" ht="15.75">
      <c r="G103" s="8"/>
    </row>
    <row r="104" customHeight="1" ht="15.75">
      <c r="G104" s="8"/>
    </row>
    <row r="105" customHeight="1" ht="15.75">
      <c r="G105" s="8"/>
    </row>
    <row r="106" customHeight="1" ht="15.75">
      <c r="G106" s="8"/>
    </row>
    <row r="107" customHeight="1" ht="15.75">
      <c r="G107" s="8"/>
    </row>
    <row r="108" customHeight="1" ht="15.75">
      <c r="G108" s="8"/>
    </row>
    <row r="109" customHeight="1" ht="15.75">
      <c r="G109" s="8"/>
    </row>
    <row r="110" customHeight="1" ht="15.75">
      <c r="G110" s="8"/>
    </row>
    <row r="111" customHeight="1" ht="15.75">
      <c r="G111" s="8"/>
    </row>
    <row r="112" customHeight="1" ht="15.75">
      <c r="G112" s="8"/>
    </row>
    <row r="113" customHeight="1" ht="15.75">
      <c r="G113" s="8"/>
    </row>
    <row r="114" customHeight="1" ht="15.75">
      <c r="G114" s="8"/>
    </row>
    <row r="115" customHeight="1" ht="15.75">
      <c r="G115" s="8"/>
    </row>
    <row r="116" customHeight="1" ht="15.75">
      <c r="G116" s="8"/>
    </row>
    <row r="117" customHeight="1" ht="15.75">
      <c r="G117" s="8"/>
    </row>
    <row r="118" customHeight="1" ht="15.75">
      <c r="G118" s="8"/>
    </row>
    <row r="119" customHeight="1" ht="15.75">
      <c r="G119" s="8"/>
    </row>
    <row r="120" customHeight="1" ht="15.75">
      <c r="G120" s="8"/>
    </row>
    <row r="121" customHeight="1" ht="15.75">
      <c r="G121" s="8"/>
    </row>
    <row r="122" customHeight="1" ht="15.75">
      <c r="G122" s="8"/>
    </row>
    <row r="123" customHeight="1" ht="15.75">
      <c r="G123" s="8"/>
    </row>
    <row r="124" customHeight="1" ht="15.75">
      <c r="G124" s="8"/>
    </row>
    <row r="125" customHeight="1" ht="15.75">
      <c r="G125" s="8"/>
    </row>
    <row r="126" customHeight="1" ht="15.75">
      <c r="G126" s="8"/>
    </row>
    <row r="127" customHeight="1" ht="15.75">
      <c r="G127" s="8"/>
    </row>
    <row r="128" customHeight="1" ht="15.75">
      <c r="G128" s="8"/>
    </row>
    <row r="129" customHeight="1" ht="15.75">
      <c r="G129" s="8"/>
    </row>
    <row r="130" customHeight="1" ht="15.75">
      <c r="G130" s="8"/>
    </row>
    <row r="131" customHeight="1" ht="15.75">
      <c r="G131" s="8"/>
    </row>
    <row r="132" customHeight="1" ht="15.75">
      <c r="G132" s="8"/>
    </row>
    <row r="133" customHeight="1" ht="15.75">
      <c r="G133" s="8"/>
    </row>
    <row r="134" customHeight="1" ht="15.75">
      <c r="G134" s="8"/>
    </row>
    <row r="135" customHeight="1" ht="15.75">
      <c r="G135" s="8"/>
    </row>
    <row r="136" customHeight="1" ht="15.75">
      <c r="G136" s="8"/>
    </row>
    <row r="137" customHeight="1" ht="15.75">
      <c r="G137" s="8"/>
    </row>
    <row r="138" customHeight="1" ht="15.75">
      <c r="G138" s="8"/>
    </row>
    <row r="139" customHeight="1" ht="15.75">
      <c r="G139" s="8"/>
    </row>
    <row r="140" customHeight="1" ht="15.75">
      <c r="G140" s="8"/>
    </row>
    <row r="141" customHeight="1" ht="15.75">
      <c r="G141" s="8"/>
    </row>
    <row r="142" customHeight="1" ht="15.75">
      <c r="G142" s="8"/>
    </row>
    <row r="143" customHeight="1" ht="15.75">
      <c r="G143" s="8"/>
    </row>
    <row r="144" customHeight="1" ht="15.75">
      <c r="G144" s="8"/>
    </row>
    <row r="145" customHeight="1" ht="15.75">
      <c r="G145" s="8"/>
    </row>
    <row r="146" customHeight="1" ht="15.75">
      <c r="G146" s="8"/>
    </row>
    <row r="147" customHeight="1" ht="15.75">
      <c r="G147" s="8"/>
    </row>
    <row r="148" customHeight="1" ht="15.75">
      <c r="G148" s="8"/>
    </row>
    <row r="149" customHeight="1" ht="15.75">
      <c r="G149" s="8"/>
    </row>
    <row r="150" customHeight="1" ht="15.75">
      <c r="G150" s="8"/>
    </row>
    <row r="151" customHeight="1" ht="15.75">
      <c r="G151" s="8"/>
    </row>
    <row r="152" customHeight="1" ht="15.75">
      <c r="G152" s="8"/>
    </row>
    <row r="153" customHeight="1" ht="15.75">
      <c r="G153" s="8"/>
    </row>
    <row r="154" customHeight="1" ht="15.75">
      <c r="G154" s="8"/>
    </row>
    <row r="155" customHeight="1" ht="15.75">
      <c r="G155" s="8"/>
    </row>
    <row r="156" customHeight="1" ht="15.75">
      <c r="G156" s="8"/>
    </row>
    <row r="157" customHeight="1" ht="15.75">
      <c r="G157" s="8"/>
    </row>
    <row r="158" customHeight="1" ht="15.75">
      <c r="G158" s="8"/>
    </row>
    <row r="159" customHeight="1" ht="15.75">
      <c r="G159" s="8"/>
    </row>
    <row r="160" customHeight="1" ht="15.75">
      <c r="G160" s="8"/>
    </row>
    <row r="161" customHeight="1" ht="15.75">
      <c r="G161" s="8"/>
    </row>
    <row r="162" customHeight="1" ht="15.75">
      <c r="G162" s="8"/>
    </row>
    <row r="163" customHeight="1" ht="15.75">
      <c r="G163" s="8"/>
    </row>
    <row r="164" customHeight="1" ht="15.75">
      <c r="G164" s="8"/>
    </row>
    <row r="165" customHeight="1" ht="15.75">
      <c r="G165" s="8"/>
    </row>
    <row r="166" customHeight="1" ht="15.75">
      <c r="G166" s="8"/>
    </row>
    <row r="167" customHeight="1" ht="15.75">
      <c r="G167" s="8"/>
    </row>
    <row r="168" customHeight="1" ht="15.75">
      <c r="G168" s="8"/>
    </row>
    <row r="169" customHeight="1" ht="15.75">
      <c r="G169" s="8"/>
    </row>
    <row r="170" customHeight="1" ht="15.75">
      <c r="G170" s="8"/>
    </row>
    <row r="171" customHeight="1" ht="15.75">
      <c r="G171" s="8"/>
    </row>
    <row r="172" customHeight="1" ht="15.75">
      <c r="G172" s="8"/>
    </row>
    <row r="173" customHeight="1" ht="15.75">
      <c r="G173" s="8"/>
    </row>
    <row r="174" customHeight="1" ht="15.75">
      <c r="G174" s="8"/>
    </row>
    <row r="175" customHeight="1" ht="15.75">
      <c r="G175" s="8"/>
    </row>
    <row r="176" customHeight="1" ht="15.75">
      <c r="G176" s="8"/>
    </row>
    <row r="177" customHeight="1" ht="15.75">
      <c r="G177" s="8"/>
    </row>
    <row r="178" customHeight="1" ht="15.75">
      <c r="G178" s="8"/>
    </row>
    <row r="179" customHeight="1" ht="15.75">
      <c r="G179" s="8"/>
    </row>
    <row r="180" customHeight="1" ht="15.75">
      <c r="G180" s="8"/>
    </row>
    <row r="181" customHeight="1" ht="15.75">
      <c r="G181" s="8"/>
    </row>
    <row r="182" customHeight="1" ht="15.75">
      <c r="G182" s="8"/>
    </row>
    <row r="183" customHeight="1" ht="15.75">
      <c r="G183" s="8"/>
    </row>
    <row r="184" customHeight="1" ht="15.75">
      <c r="G184" s="8"/>
    </row>
    <row r="185" customHeight="1" ht="15.75">
      <c r="G185" s="8"/>
    </row>
    <row r="186" customHeight="1" ht="15.75">
      <c r="G186" s="8"/>
    </row>
    <row r="187" customHeight="1" ht="15.75">
      <c r="G187" s="8"/>
    </row>
    <row r="188" customHeight="1" ht="15.75">
      <c r="G188" s="8"/>
    </row>
    <row r="189" customHeight="1" ht="15.75">
      <c r="G189" s="8"/>
    </row>
    <row r="190" customHeight="1" ht="15.75">
      <c r="G190" s="8"/>
    </row>
    <row r="191" customHeight="1" ht="15.75">
      <c r="G191" s="8"/>
    </row>
    <row r="192" customHeight="1" ht="15.75">
      <c r="G192" s="8"/>
    </row>
    <row r="193" customHeight="1" ht="15.75">
      <c r="G193" s="8"/>
    </row>
    <row r="194" customHeight="1" ht="15.75">
      <c r="G194" s="8"/>
    </row>
    <row r="195" customHeight="1" ht="15.75">
      <c r="G195" s="8"/>
    </row>
    <row r="196" customHeight="1" ht="15.75">
      <c r="G196" s="8"/>
    </row>
    <row r="197" customHeight="1" ht="15.75">
      <c r="G197" s="8"/>
    </row>
    <row r="198" customHeight="1" ht="15.75">
      <c r="G198" s="8"/>
    </row>
    <row r="199" customHeight="1" ht="15.75">
      <c r="G199" s="8"/>
    </row>
    <row r="200" customHeight="1" ht="15.75">
      <c r="G200" s="8"/>
    </row>
    <row r="201" customHeight="1" ht="15.75">
      <c r="G201" s="8"/>
    </row>
    <row r="202" customHeight="1" ht="15.75">
      <c r="G202" s="8"/>
    </row>
    <row r="203" customHeight="1" ht="15.75">
      <c r="G203" s="8"/>
    </row>
    <row r="204" customHeight="1" ht="15.75">
      <c r="G204" s="8"/>
    </row>
    <row r="205" customHeight="1" ht="15.75">
      <c r="G205" s="8"/>
    </row>
    <row r="206" customHeight="1" ht="15.75">
      <c r="G206" s="8"/>
    </row>
    <row r="207" customHeight="1" ht="15.75">
      <c r="G207" s="8"/>
    </row>
    <row r="208" customHeight="1" ht="15.75">
      <c r="G208" s="8"/>
    </row>
    <row r="209" customHeight="1" ht="15.75">
      <c r="G209" s="8"/>
    </row>
    <row r="210" customHeight="1" ht="15.75">
      <c r="G210" s="8"/>
    </row>
    <row r="211" customHeight="1" ht="15.75">
      <c r="G211" s="8"/>
    </row>
    <row r="212" customHeight="1" ht="15.75">
      <c r="G212" s="8"/>
    </row>
    <row r="213" customHeight="1" ht="15.75">
      <c r="G213" s="8"/>
    </row>
    <row r="214" customHeight="1" ht="15.75">
      <c r="G214" s="8"/>
    </row>
    <row r="215" customHeight="1" ht="15.75">
      <c r="G215" s="8"/>
    </row>
    <row r="216" customHeight="1" ht="15.75">
      <c r="G216" s="8"/>
    </row>
    <row r="217" customHeight="1" ht="15.75">
      <c r="G217" s="8"/>
    </row>
    <row r="218" customHeight="1" ht="15.75">
      <c r="G218" s="8"/>
    </row>
    <row r="219" customHeight="1" ht="15.75">
      <c r="G219" s="8"/>
    </row>
    <row r="220" customHeight="1" ht="15.75">
      <c r="G220" s="8"/>
    </row>
    <row r="221" customHeight="1" ht="15.75"/>
    <row r="222" customHeight="1" ht="15.75"/>
    <row r="223" customHeight="1" ht="15.75"/>
    <row r="224" customHeight="1" ht="15.75"/>
    <row r="225" customHeight="1" ht="15.75"/>
    <row r="226" customHeight="1" ht="15.75"/>
    <row r="227" customHeight="1" ht="15.75"/>
    <row r="228" customHeight="1" ht="15.75"/>
    <row r="229" customHeight="1" ht="15.75"/>
    <row r="230" customHeight="1" ht="15.75"/>
    <row r="231" customHeight="1" ht="15.75"/>
    <row r="232" customHeight="1" ht="15.75"/>
    <row r="233" customHeight="1" ht="15.75"/>
    <row r="234" customHeight="1" ht="15.75"/>
    <row r="235" customHeight="1" ht="15.75"/>
    <row r="236" customHeight="1" ht="15.75"/>
    <row r="237" customHeight="1" ht="15.75"/>
    <row r="238" customHeight="1" ht="15.75"/>
    <row r="239" customHeight="1" ht="15.75"/>
    <row r="240" customHeight="1" ht="15.75"/>
    <row r="241" customHeight="1" ht="15.75"/>
    <row r="242" customHeight="1" ht="15.75"/>
    <row r="243" customHeight="1" ht="15.75"/>
    <row r="244" customHeight="1" ht="15.75"/>
    <row r="245" customHeight="1" ht="15.75"/>
    <row r="246" customHeight="1" ht="15.75"/>
    <row r="247" customHeight="1" ht="15.75"/>
    <row r="248" customHeight="1" ht="15.75"/>
    <row r="249" customHeight="1" ht="15.75"/>
    <row r="250" customHeight="1" ht="15.75"/>
    <row r="251" customHeight="1" ht="15.75"/>
    <row r="252" customHeight="1" ht="15.75"/>
    <row r="253" customHeight="1" ht="15.75"/>
    <row r="254" customHeight="1" ht="15.75"/>
    <row r="255" customHeight="1" ht="15.75"/>
    <row r="256" customHeight="1" ht="15.75"/>
    <row r="257" customHeight="1" ht="15.75"/>
    <row r="258" customHeight="1" ht="15.75"/>
    <row r="259" customHeight="1" ht="15.75"/>
    <row r="260" customHeight="1" ht="15.75"/>
    <row r="261" customHeight="1" ht="15.75"/>
    <row r="262" customHeight="1" ht="15.75"/>
    <row r="263" customHeight="1" ht="15.75"/>
    <row r="264" customHeight="1" ht="15.75"/>
    <row r="265" customHeight="1" ht="15.75"/>
    <row r="266" customHeight="1" ht="15.75"/>
    <row r="267" customHeight="1" ht="15.75"/>
    <row r="268" customHeight="1" ht="15.75"/>
    <row r="269" customHeight="1" ht="15.75"/>
    <row r="270" customHeight="1" ht="15.75"/>
    <row r="271" customHeight="1" ht="15.75"/>
    <row r="272" customHeight="1" ht="15.75"/>
    <row r="273" customHeight="1" ht="15.75"/>
    <row r="274" customHeight="1" ht="15.75"/>
    <row r="275" customHeight="1" ht="15.75"/>
    <row r="276" customHeight="1" ht="15.75"/>
    <row r="277" customHeight="1" ht="15.75"/>
    <row r="278" customHeight="1" ht="15.75"/>
    <row r="279" customHeight="1" ht="15.75"/>
    <row r="280" customHeight="1" ht="15.75"/>
    <row r="281" customHeight="1" ht="15.75"/>
    <row r="282" customHeight="1" ht="15.75"/>
    <row r="283" customHeight="1" ht="15.75"/>
    <row r="284" customHeight="1" ht="15.75"/>
    <row r="285" customHeight="1" ht="15.75"/>
    <row r="286" customHeight="1" ht="15.75"/>
    <row r="287" customHeight="1" ht="15.75"/>
    <row r="288" customHeight="1" ht="15.75"/>
    <row r="289" customHeight="1" ht="15.75"/>
    <row r="290" customHeight="1" ht="15.75"/>
    <row r="291" customHeight="1" ht="15.75"/>
    <row r="292" customHeight="1" ht="15.75"/>
    <row r="293" customHeight="1" ht="15.75"/>
    <row r="294" customHeight="1" ht="15.75"/>
    <row r="295" customHeight="1" ht="15.75"/>
    <row r="296" customHeight="1" ht="15.75"/>
    <row r="297" customHeight="1" ht="15.75"/>
    <row r="298" customHeight="1" ht="15.75"/>
    <row r="299" customHeight="1" ht="15.75"/>
    <row r="300" customHeight="1" ht="15.75"/>
    <row r="301" customHeight="1" ht="15.75"/>
    <row r="302" customHeight="1" ht="15.75"/>
    <row r="303" customHeight="1" ht="15.75"/>
    <row r="304" customHeight="1" ht="15.75"/>
    <row r="305" customHeight="1" ht="15.75"/>
    <row r="306" customHeight="1" ht="15.75"/>
    <row r="307" customHeight="1" ht="15.75"/>
    <row r="308" customHeight="1" ht="15.75"/>
    <row r="309" customHeight="1" ht="15.75"/>
    <row r="310" customHeight="1" ht="15.75"/>
    <row r="311" customHeight="1" ht="15.75"/>
    <row r="312" customHeight="1" ht="15.75"/>
    <row r="313" customHeight="1" ht="15.75"/>
    <row r="314" customHeight="1" ht="15.75"/>
    <row r="315" customHeight="1" ht="15.75"/>
    <row r="316" customHeight="1" ht="15.75"/>
    <row r="317" customHeight="1" ht="15.75"/>
    <row r="318" customHeight="1" ht="15.75"/>
    <row r="319" customHeight="1" ht="15.75"/>
    <row r="320" customHeight="1" ht="15.75"/>
    <row r="321" customHeight="1" ht="15.75"/>
    <row r="322" customHeight="1" ht="15.75"/>
    <row r="323" customHeight="1" ht="15.75"/>
    <row r="324" customHeight="1" ht="15.75"/>
    <row r="325" customHeight="1" ht="15.75"/>
    <row r="326" customHeight="1" ht="15.75"/>
    <row r="327" customHeight="1" ht="15.75"/>
    <row r="328" customHeight="1" ht="15.75"/>
    <row r="329" customHeight="1" ht="15.75"/>
    <row r="330" customHeight="1" ht="15.75"/>
    <row r="331" customHeight="1" ht="15.75"/>
    <row r="332" customHeight="1" ht="15.75"/>
    <row r="333" customHeight="1" ht="15.75"/>
    <row r="334" customHeight="1" ht="15.75"/>
    <row r="335" customHeight="1" ht="15.75"/>
    <row r="336" customHeight="1" ht="15.75"/>
    <row r="337" customHeight="1" ht="15.75"/>
    <row r="338" customHeight="1" ht="15.75"/>
    <row r="339" customHeight="1" ht="15.75"/>
    <row r="340" customHeight="1" ht="15.75"/>
    <row r="341" customHeight="1" ht="15.75"/>
    <row r="342" customHeight="1" ht="15.75"/>
    <row r="343" customHeight="1" ht="15.75"/>
    <row r="344" customHeight="1" ht="15.75"/>
    <row r="345" customHeight="1" ht="15.75"/>
    <row r="346" customHeight="1" ht="15.75"/>
    <row r="347" customHeight="1" ht="15.75"/>
    <row r="348" customHeight="1" ht="15.75"/>
    <row r="349" customHeight="1" ht="15.75"/>
    <row r="350" customHeight="1" ht="15.75"/>
    <row r="351" customHeight="1" ht="15.75"/>
    <row r="352" customHeight="1" ht="15.75"/>
    <row r="353" customHeight="1" ht="15.75"/>
    <row r="354" customHeight="1" ht="15.75"/>
    <row r="355" customHeight="1" ht="15.75"/>
    <row r="356" customHeight="1" ht="15.75"/>
    <row r="357" customHeight="1" ht="15.75"/>
    <row r="358" customHeight="1" ht="15.75"/>
    <row r="359" customHeight="1" ht="15.75"/>
    <row r="360" customHeight="1" ht="15.75"/>
    <row r="361" customHeight="1" ht="15.75"/>
    <row r="362" customHeight="1" ht="15.75"/>
    <row r="363" customHeight="1" ht="15.75"/>
    <row r="364" customHeight="1" ht="15.75"/>
    <row r="365" customHeight="1" ht="15.75"/>
    <row r="366" customHeight="1" ht="15.75"/>
    <row r="367" customHeight="1" ht="15.75"/>
    <row r="368" customHeight="1" ht="15.75"/>
    <row r="369" customHeight="1" ht="15.75"/>
    <row r="370" customHeight="1" ht="15.75"/>
    <row r="371" customHeight="1" ht="15.75"/>
    <row r="372" customHeight="1" ht="15.75"/>
    <row r="373" customHeight="1" ht="15.75"/>
    <row r="374" customHeight="1" ht="15.75"/>
    <row r="375" customHeight="1" ht="15.75"/>
    <row r="376" customHeight="1" ht="15.75"/>
    <row r="377" customHeight="1" ht="15.75"/>
    <row r="378" customHeight="1" ht="15.75"/>
    <row r="379" customHeight="1" ht="15.75"/>
    <row r="380" customHeight="1" ht="15.75"/>
    <row r="381" customHeight="1" ht="15.75"/>
    <row r="382" customHeight="1" ht="15.75"/>
    <row r="383" customHeight="1" ht="15.75"/>
    <row r="384" customHeight="1" ht="15.75"/>
    <row r="385" customHeight="1" ht="15.75"/>
    <row r="386" customHeight="1" ht="15.75"/>
    <row r="387" customHeight="1" ht="15.75"/>
    <row r="388" customHeight="1" ht="15.75"/>
    <row r="389" customHeight="1" ht="15.75"/>
    <row r="390" customHeight="1" ht="15.75"/>
    <row r="391" customHeight="1" ht="15.75"/>
    <row r="392" customHeight="1" ht="15.75"/>
    <row r="393" customHeight="1" ht="15.75"/>
    <row r="394" customHeight="1" ht="15.75"/>
    <row r="395" customHeight="1" ht="15.75"/>
    <row r="396" customHeight="1" ht="15.75"/>
    <row r="397" customHeight="1" ht="15.75"/>
    <row r="398" customHeight="1" ht="15.75"/>
    <row r="399" customHeight="1" ht="15.75"/>
    <row r="400" customHeight="1" ht="15.75"/>
    <row r="401" customHeight="1" ht="15.75"/>
    <row r="402" customHeight="1" ht="15.75"/>
    <row r="403" customHeight="1" ht="15.75"/>
    <row r="404" customHeight="1" ht="15.75"/>
    <row r="405" customHeight="1" ht="15.75"/>
    <row r="406" customHeight="1" ht="15.75"/>
    <row r="407" customHeight="1" ht="15.75"/>
    <row r="408" customHeight="1" ht="15.75"/>
    <row r="409" customHeight="1" ht="15.75"/>
    <row r="410" customHeight="1" ht="15.75"/>
    <row r="411" customHeight="1" ht="15.75"/>
    <row r="412" customHeight="1" ht="15.75"/>
    <row r="413" customHeight="1" ht="15.75"/>
    <row r="414" customHeight="1" ht="15.75"/>
    <row r="415" customHeight="1" ht="15.75"/>
    <row r="416" customHeight="1" ht="15.75"/>
    <row r="417" customHeight="1" ht="15.75"/>
    <row r="418" customHeight="1" ht="15.75"/>
    <row r="419" customHeight="1" ht="15.75"/>
    <row r="420" customHeight="1" ht="15.75"/>
    <row r="421" customHeight="1" ht="15.75"/>
    <row r="422" customHeight="1" ht="15.75"/>
    <row r="423" customHeight="1" ht="15.75"/>
    <row r="424" customHeight="1" ht="15.75"/>
    <row r="425" customHeight="1" ht="15.75"/>
    <row r="426" customHeight="1" ht="15.75"/>
    <row r="427" customHeight="1" ht="15.75"/>
    <row r="428" customHeight="1" ht="15.75"/>
    <row r="429" customHeight="1" ht="15.75"/>
    <row r="430" customHeight="1" ht="15.75"/>
    <row r="431" customHeight="1" ht="15.75"/>
    <row r="432" customHeight="1" ht="15.75"/>
    <row r="433" customHeight="1" ht="15.75"/>
    <row r="434" customHeight="1" ht="15.75"/>
    <row r="435" customHeight="1" ht="15.75"/>
    <row r="436" customHeight="1" ht="15.75"/>
    <row r="437" customHeight="1" ht="15.75"/>
    <row r="438" customHeight="1" ht="15.75"/>
    <row r="439" customHeight="1" ht="15.75"/>
    <row r="440" customHeight="1" ht="15.75"/>
    <row r="441" customHeight="1" ht="15.75"/>
    <row r="442" customHeight="1" ht="15.75"/>
    <row r="443" customHeight="1" ht="15.75"/>
    <row r="444" customHeight="1" ht="15.75"/>
    <row r="445" customHeight="1" ht="15.75"/>
    <row r="446" customHeight="1" ht="15.75"/>
    <row r="447" customHeight="1" ht="15.75"/>
    <row r="448" customHeight="1" ht="15.75"/>
    <row r="449" customHeight="1" ht="15.75"/>
    <row r="450" customHeight="1" ht="15.75"/>
    <row r="451" customHeight="1" ht="15.75"/>
    <row r="452" customHeight="1" ht="15.75"/>
    <row r="453" customHeight="1" ht="15.75"/>
    <row r="454" customHeight="1" ht="15.75"/>
    <row r="455" customHeight="1" ht="15.75"/>
    <row r="456" customHeight="1" ht="15.75"/>
    <row r="457" customHeight="1" ht="15.75"/>
    <row r="458" customHeight="1" ht="15.75"/>
    <row r="459" customHeight="1" ht="15.75"/>
    <row r="460" customHeight="1" ht="15.75"/>
    <row r="461" customHeight="1" ht="15.75"/>
    <row r="462" customHeight="1" ht="15.75"/>
    <row r="463" customHeight="1" ht="15.75"/>
    <row r="464" customHeight="1" ht="15.75"/>
    <row r="465" customHeight="1" ht="15.75"/>
    <row r="466" customHeight="1" ht="15.75"/>
    <row r="467" customHeight="1" ht="15.75"/>
    <row r="468" customHeight="1" ht="15.75"/>
    <row r="469" customHeight="1" ht="15.75"/>
    <row r="470" customHeight="1" ht="15.75"/>
    <row r="471" customHeight="1" ht="15.75"/>
    <row r="472" customHeight="1" ht="15.75"/>
    <row r="473" customHeight="1" ht="15.75"/>
    <row r="474" customHeight="1" ht="15.75"/>
    <row r="475" customHeight="1" ht="15.75"/>
    <row r="476" customHeight="1" ht="15.75"/>
    <row r="477" customHeight="1" ht="15.75"/>
    <row r="478" customHeight="1" ht="15.75"/>
    <row r="479" customHeight="1" ht="15.75"/>
    <row r="480" customHeight="1" ht="15.75"/>
    <row r="481" customHeight="1" ht="15.75"/>
    <row r="482" customHeight="1" ht="15.75"/>
    <row r="483" customHeight="1" ht="15.75"/>
    <row r="484" customHeight="1" ht="15.75"/>
    <row r="485" customHeight="1" ht="15.75"/>
    <row r="486" customHeight="1" ht="15.75"/>
    <row r="487" customHeight="1" ht="15.75"/>
    <row r="488" customHeight="1" ht="15.75"/>
    <row r="489" customHeight="1" ht="15.75"/>
    <row r="490" customHeight="1" ht="15.75"/>
    <row r="491" customHeight="1" ht="15.75"/>
    <row r="492" customHeight="1" ht="15.75"/>
    <row r="493" customHeight="1" ht="15.75"/>
    <row r="494" customHeight="1" ht="15.75"/>
    <row r="495" customHeight="1" ht="15.75"/>
    <row r="496" customHeight="1" ht="15.75"/>
    <row r="497" customHeight="1" ht="15.75"/>
    <row r="498" customHeight="1" ht="15.75"/>
    <row r="499" customHeight="1" ht="15.75"/>
    <row r="500" customHeight="1" ht="15.75"/>
    <row r="501" customHeight="1" ht="15.75"/>
    <row r="502" customHeight="1" ht="15.75"/>
    <row r="503" customHeight="1" ht="15.75"/>
    <row r="504" customHeight="1" ht="15.75"/>
    <row r="505" customHeight="1" ht="15.75"/>
    <row r="506" customHeight="1" ht="15.75"/>
    <row r="507" customHeight="1" ht="15.75"/>
    <row r="508" customHeight="1" ht="15.75"/>
    <row r="509" customHeight="1" ht="15.75"/>
    <row r="510" customHeight="1" ht="15.75"/>
    <row r="511" customHeight="1" ht="15.75"/>
    <row r="512" customHeight="1" ht="15.75"/>
    <row r="513" customHeight="1" ht="15.75"/>
    <row r="514" customHeight="1" ht="15.75"/>
    <row r="515" customHeight="1" ht="15.75"/>
    <row r="516" customHeight="1" ht="15.75"/>
    <row r="517" customHeight="1" ht="15.75"/>
    <row r="518" customHeight="1" ht="15.75"/>
    <row r="519" customHeight="1" ht="15.75"/>
    <row r="520" customHeight="1" ht="15.75"/>
    <row r="521" customHeight="1" ht="15.75"/>
    <row r="522" customHeight="1" ht="15.75"/>
    <row r="523" customHeight="1" ht="15.75"/>
    <row r="524" customHeight="1" ht="15.75"/>
    <row r="525" customHeight="1" ht="15.75"/>
    <row r="526" customHeight="1" ht="15.75"/>
    <row r="527" customHeight="1" ht="15.75"/>
    <row r="528" customHeight="1" ht="15.75"/>
    <row r="529" customHeight="1" ht="15.75"/>
    <row r="530" customHeight="1" ht="15.75"/>
    <row r="531" customHeight="1" ht="15.75"/>
    <row r="532" customHeight="1" ht="15.75"/>
    <row r="533" customHeight="1" ht="15.75"/>
    <row r="534" customHeight="1" ht="15.75"/>
    <row r="535" customHeight="1" ht="15.75"/>
    <row r="536" customHeight="1" ht="15.75"/>
    <row r="537" customHeight="1" ht="15.75"/>
    <row r="538" customHeight="1" ht="15.75"/>
    <row r="539" customHeight="1" ht="15.75"/>
    <row r="540" customHeight="1" ht="15.75"/>
    <row r="541" customHeight="1" ht="15.75"/>
    <row r="542" customHeight="1" ht="15.75"/>
    <row r="543" customHeight="1" ht="15.75"/>
    <row r="544" customHeight="1" ht="15.75"/>
    <row r="545" customHeight="1" ht="15.75"/>
    <row r="546" customHeight="1" ht="15.75"/>
    <row r="547" customHeight="1" ht="15.75"/>
    <row r="548" customHeight="1" ht="15.75"/>
    <row r="549" customHeight="1" ht="15.75"/>
    <row r="550" customHeight="1" ht="15.75"/>
    <row r="551" customHeight="1" ht="15.75"/>
    <row r="552" customHeight="1" ht="15.75"/>
    <row r="553" customHeight="1" ht="15.75"/>
    <row r="554" customHeight="1" ht="15.75"/>
    <row r="555" customHeight="1" ht="15.75"/>
    <row r="556" customHeight="1" ht="15.75"/>
    <row r="557" customHeight="1" ht="15.75"/>
    <row r="558" customHeight="1" ht="15.75"/>
    <row r="559" customHeight="1" ht="15.75"/>
    <row r="560" customHeight="1" ht="15.75"/>
    <row r="561" customHeight="1" ht="15.75"/>
    <row r="562" customHeight="1" ht="15.75"/>
    <row r="563" customHeight="1" ht="15.75"/>
    <row r="564" customHeight="1" ht="15.75"/>
    <row r="565" customHeight="1" ht="15.75"/>
    <row r="566" customHeight="1" ht="15.75"/>
    <row r="567" customHeight="1" ht="15.75"/>
    <row r="568" customHeight="1" ht="15.75"/>
    <row r="569" customHeight="1" ht="15.75"/>
    <row r="570" customHeight="1" ht="15.75"/>
    <row r="571" customHeight="1" ht="15.75"/>
    <row r="572" customHeight="1" ht="15.75"/>
    <row r="573" customHeight="1" ht="15.75"/>
    <row r="574" customHeight="1" ht="15.75"/>
    <row r="575" customHeight="1" ht="15.75"/>
    <row r="576" customHeight="1" ht="15.75"/>
    <row r="577" customHeight="1" ht="15.75"/>
    <row r="578" customHeight="1" ht="15.75"/>
    <row r="579" customHeight="1" ht="15.75"/>
    <row r="580" customHeight="1" ht="15.75"/>
    <row r="581" customHeight="1" ht="15.75"/>
    <row r="582" customHeight="1" ht="15.75"/>
    <row r="583" customHeight="1" ht="15.75"/>
    <row r="584" customHeight="1" ht="15.75"/>
    <row r="585" customHeight="1" ht="15.75"/>
    <row r="586" customHeight="1" ht="15.75"/>
    <row r="587" customHeight="1" ht="15.75"/>
    <row r="588" customHeight="1" ht="15.75"/>
    <row r="589" customHeight="1" ht="15.75"/>
    <row r="590" customHeight="1" ht="15.75"/>
    <row r="591" customHeight="1" ht="15.75"/>
    <row r="592" customHeight="1" ht="15.75"/>
    <row r="593" customHeight="1" ht="15.75"/>
    <row r="594" customHeight="1" ht="15.75"/>
    <row r="595" customHeight="1" ht="15.75"/>
    <row r="596" customHeight="1" ht="15.75"/>
    <row r="597" customHeight="1" ht="15.75"/>
    <row r="598" customHeight="1" ht="15.75"/>
    <row r="599" customHeight="1" ht="15.75"/>
    <row r="600" customHeight="1" ht="15.75"/>
    <row r="601" customHeight="1" ht="15.75"/>
    <row r="602" customHeight="1" ht="15.75"/>
    <row r="603" customHeight="1" ht="15.75"/>
    <row r="604" customHeight="1" ht="15.75"/>
    <row r="605" customHeight="1" ht="15.75"/>
    <row r="606" customHeight="1" ht="15.75"/>
    <row r="607" customHeight="1" ht="15.75"/>
    <row r="608" customHeight="1" ht="15.75"/>
    <row r="609" customHeight="1" ht="15.75"/>
    <row r="610" customHeight="1" ht="15.75"/>
    <row r="611" customHeight="1" ht="15.75"/>
    <row r="612" customHeight="1" ht="15.75"/>
    <row r="613" customHeight="1" ht="15.75"/>
    <row r="614" customHeight="1" ht="15.75"/>
    <row r="615" customHeight="1" ht="15.75"/>
    <row r="616" customHeight="1" ht="15.75"/>
    <row r="617" customHeight="1" ht="15.75"/>
    <row r="618" customHeight="1" ht="15.75"/>
    <row r="619" customHeight="1" ht="15.75"/>
    <row r="620" customHeight="1" ht="15.75"/>
    <row r="621" customHeight="1" ht="15.75"/>
    <row r="622" customHeight="1" ht="15.75"/>
    <row r="623" customHeight="1" ht="15.75"/>
    <row r="624" customHeight="1" ht="15.75"/>
    <row r="625" customHeight="1" ht="15.75"/>
    <row r="626" customHeight="1" ht="15.75"/>
    <row r="627" customHeight="1" ht="15.75"/>
    <row r="628" customHeight="1" ht="15.75"/>
    <row r="629" customHeight="1" ht="15.75"/>
    <row r="630" customHeight="1" ht="15.75"/>
    <row r="631" customHeight="1" ht="15.75"/>
    <row r="632" customHeight="1" ht="15.75"/>
    <row r="633" customHeight="1" ht="15.75"/>
    <row r="634" customHeight="1" ht="15.75"/>
    <row r="635" customHeight="1" ht="15.75"/>
    <row r="636" customHeight="1" ht="15.75"/>
    <row r="637" customHeight="1" ht="15.75"/>
    <row r="638" customHeight="1" ht="15.75"/>
    <row r="639" customHeight="1" ht="15.75"/>
    <row r="640" customHeight="1" ht="15.75"/>
    <row r="641" customHeight="1" ht="15.75"/>
    <row r="642" customHeight="1" ht="15.75"/>
    <row r="643" customHeight="1" ht="15.75"/>
    <row r="644" customHeight="1" ht="15.75"/>
    <row r="645" customHeight="1" ht="15.75"/>
    <row r="646" customHeight="1" ht="15.75"/>
    <row r="647" customHeight="1" ht="15.75"/>
    <row r="648" customHeight="1" ht="15.75"/>
    <row r="649" customHeight="1" ht="15.75"/>
    <row r="650" customHeight="1" ht="15.75"/>
    <row r="651" customHeight="1" ht="15.75"/>
    <row r="652" customHeight="1" ht="15.75"/>
    <row r="653" customHeight="1" ht="15.75"/>
    <row r="654" customHeight="1" ht="15.75"/>
    <row r="655" customHeight="1" ht="15.75"/>
    <row r="656" customHeight="1" ht="15.75"/>
    <row r="657" customHeight="1" ht="15.75"/>
    <row r="658" customHeight="1" ht="15.75"/>
    <row r="659" customHeight="1" ht="15.75"/>
    <row r="660" customHeight="1" ht="15.75"/>
    <row r="661" customHeight="1" ht="15.75"/>
    <row r="662" customHeight="1" ht="15.75"/>
    <row r="663" customHeight="1" ht="15.75"/>
    <row r="664" customHeight="1" ht="15.75"/>
    <row r="665" customHeight="1" ht="15.75"/>
    <row r="666" customHeight="1" ht="15.75"/>
    <row r="667" customHeight="1" ht="15.75"/>
    <row r="668" customHeight="1" ht="15.75"/>
    <row r="669" customHeight="1" ht="15.75"/>
    <row r="670" customHeight="1" ht="15.75"/>
    <row r="671" customHeight="1" ht="15.75"/>
    <row r="672" customHeight="1" ht="15.75"/>
    <row r="673" customHeight="1" ht="15.75"/>
    <row r="674" customHeight="1" ht="15.75"/>
    <row r="675" customHeight="1" ht="15.75"/>
    <row r="676" customHeight="1" ht="15.75"/>
    <row r="677" customHeight="1" ht="15.75"/>
    <row r="678" customHeight="1" ht="15.75"/>
    <row r="679" customHeight="1" ht="15.75"/>
    <row r="680" customHeight="1" ht="15.75"/>
    <row r="681" customHeight="1" ht="15.75"/>
    <row r="682" customHeight="1" ht="15.75"/>
    <row r="683" customHeight="1" ht="15.75"/>
    <row r="684" customHeight="1" ht="15.75"/>
    <row r="685" customHeight="1" ht="15.75"/>
    <row r="686" customHeight="1" ht="15.75"/>
    <row r="687" customHeight="1" ht="15.75"/>
    <row r="688" customHeight="1" ht="15.75"/>
    <row r="689" customHeight="1" ht="15.75"/>
    <row r="690" customHeight="1" ht="15.75"/>
    <row r="691" customHeight="1" ht="15.75"/>
    <row r="692" customHeight="1" ht="15.75"/>
    <row r="693" customHeight="1" ht="15.75"/>
    <row r="694" customHeight="1" ht="15.75"/>
    <row r="695" customHeight="1" ht="15.75"/>
    <row r="696" customHeight="1" ht="15.75"/>
    <row r="697" customHeight="1" ht="15.75"/>
    <row r="698" customHeight="1" ht="15.75"/>
    <row r="699" customHeight="1" ht="15.75"/>
    <row r="700" customHeight="1" ht="15.75"/>
    <row r="701" customHeight="1" ht="15.75"/>
    <row r="702" customHeight="1" ht="15.75"/>
    <row r="703" customHeight="1" ht="15.75"/>
    <row r="704" customHeight="1" ht="15.75"/>
    <row r="705" customHeight="1" ht="15.75"/>
    <row r="706" customHeight="1" ht="15.75"/>
    <row r="707" customHeight="1" ht="15.75"/>
    <row r="708" customHeight="1" ht="15.75"/>
    <row r="709" customHeight="1" ht="15.75"/>
    <row r="710" customHeight="1" ht="15.75"/>
    <row r="711" customHeight="1" ht="15.75"/>
    <row r="712" customHeight="1" ht="15.75"/>
    <row r="713" customHeight="1" ht="15.75"/>
    <row r="714" customHeight="1" ht="15.75"/>
    <row r="715" customHeight="1" ht="15.75"/>
    <row r="716" customHeight="1" ht="15.75"/>
    <row r="717" customHeight="1" ht="15.75"/>
    <row r="718" customHeight="1" ht="15.75"/>
    <row r="719" customHeight="1" ht="15.75"/>
    <row r="720" customHeight="1" ht="15.75"/>
    <row r="721" customHeight="1" ht="15.75"/>
    <row r="722" customHeight="1" ht="15.75"/>
    <row r="723" customHeight="1" ht="15.75"/>
    <row r="724" customHeight="1" ht="15.75"/>
    <row r="725" customHeight="1" ht="15.75"/>
    <row r="726" customHeight="1" ht="15.75"/>
    <row r="727" customHeight="1" ht="15.75"/>
    <row r="728" customHeight="1" ht="15.75"/>
    <row r="729" customHeight="1" ht="15.75"/>
    <row r="730" customHeight="1" ht="15.75"/>
    <row r="731" customHeight="1" ht="15.75"/>
    <row r="732" customHeight="1" ht="15.75"/>
    <row r="733" customHeight="1" ht="15.75"/>
    <row r="734" customHeight="1" ht="15.75"/>
    <row r="735" customHeight="1" ht="15.75"/>
    <row r="736" customHeight="1" ht="15.75"/>
    <row r="737" customHeight="1" ht="15.75"/>
    <row r="738" customHeight="1" ht="15.75"/>
    <row r="739" customHeight="1" ht="15.75"/>
    <row r="740" customHeight="1" ht="15.75"/>
    <row r="741" customHeight="1" ht="15.75"/>
    <row r="742" customHeight="1" ht="15.75"/>
    <row r="743" customHeight="1" ht="15.75"/>
    <row r="744" customHeight="1" ht="15.75"/>
    <row r="745" customHeight="1" ht="15.75"/>
    <row r="746" customHeight="1" ht="15.75"/>
    <row r="747" customHeight="1" ht="15.75"/>
    <row r="748" customHeight="1" ht="15.75"/>
    <row r="749" customHeight="1" ht="15.75"/>
    <row r="750" customHeight="1" ht="15.75"/>
    <row r="751" customHeight="1" ht="15.75"/>
    <row r="752" customHeight="1" ht="15.75"/>
    <row r="753" customHeight="1" ht="15.75"/>
    <row r="754" customHeight="1" ht="15.75"/>
    <row r="755" customHeight="1" ht="15.75"/>
    <row r="756" customHeight="1" ht="15.75"/>
    <row r="757" customHeight="1" ht="15.75"/>
    <row r="758" customHeight="1" ht="15.75"/>
    <row r="759" customHeight="1" ht="15.75"/>
    <row r="760" customHeight="1" ht="15.75"/>
    <row r="761" customHeight="1" ht="15.75"/>
    <row r="762" customHeight="1" ht="15.75"/>
    <row r="763" customHeight="1" ht="15.75"/>
    <row r="764" customHeight="1" ht="15.75"/>
    <row r="765" customHeight="1" ht="15.75"/>
    <row r="766" customHeight="1" ht="15.75"/>
    <row r="767" customHeight="1" ht="15.75"/>
    <row r="768" customHeight="1" ht="15.75"/>
    <row r="769" customHeight="1" ht="15.75"/>
    <row r="770" customHeight="1" ht="15.75"/>
    <row r="771" customHeight="1" ht="15.75"/>
    <row r="772" customHeight="1" ht="15.75"/>
    <row r="773" customHeight="1" ht="15.75"/>
    <row r="774" customHeight="1" ht="15.75"/>
    <row r="775" customHeight="1" ht="15.75"/>
    <row r="776" customHeight="1" ht="15.75"/>
    <row r="777" customHeight="1" ht="15.75"/>
    <row r="778" customHeight="1" ht="15.75"/>
    <row r="779" customHeight="1" ht="15.75"/>
    <row r="780" customHeight="1" ht="15.75"/>
    <row r="781" customHeight="1" ht="15.75"/>
    <row r="782" customHeight="1" ht="15.75"/>
    <row r="783" customHeight="1" ht="15.75"/>
    <row r="784" customHeight="1" ht="15.75"/>
    <row r="785" customHeight="1" ht="15.75"/>
    <row r="786" customHeight="1" ht="15.75"/>
    <row r="787" customHeight="1" ht="15.75"/>
    <row r="788" customHeight="1" ht="15.75"/>
    <row r="789" customHeight="1" ht="15.75"/>
    <row r="790" customHeight="1" ht="15.75"/>
    <row r="791" customHeight="1" ht="15.75"/>
    <row r="792" customHeight="1" ht="15.75"/>
    <row r="793" customHeight="1" ht="15.75"/>
    <row r="794" customHeight="1" ht="15.75"/>
    <row r="795" customHeight="1" ht="15.75"/>
    <row r="796" customHeight="1" ht="15.75"/>
    <row r="797" customHeight="1" ht="15.75"/>
    <row r="798" customHeight="1" ht="15.75"/>
    <row r="799" customHeight="1" ht="15.75"/>
    <row r="800" customHeight="1" ht="15.75"/>
    <row r="801" customHeight="1" ht="15.75"/>
    <row r="802" customHeight="1" ht="15.75"/>
    <row r="803" customHeight="1" ht="15.75"/>
    <row r="804" customHeight="1" ht="15.75"/>
    <row r="805" customHeight="1" ht="15.75"/>
    <row r="806" customHeight="1" ht="15.75"/>
    <row r="807" customHeight="1" ht="15.75"/>
    <row r="808" customHeight="1" ht="15.75"/>
    <row r="809" customHeight="1" ht="15.75"/>
    <row r="810" customHeight="1" ht="15.75"/>
    <row r="811" customHeight="1" ht="15.75"/>
    <row r="812" customHeight="1" ht="15.75"/>
    <row r="813" customHeight="1" ht="15.75"/>
    <row r="814" customHeight="1" ht="15.75"/>
    <row r="815" customHeight="1" ht="15.75"/>
    <row r="816" customHeight="1" ht="15.75"/>
    <row r="817" customHeight="1" ht="15.75"/>
    <row r="818" customHeight="1" ht="15.75"/>
    <row r="819" customHeight="1" ht="15.75"/>
    <row r="820" customHeight="1" ht="15.75"/>
    <row r="821" customHeight="1" ht="15.75"/>
    <row r="822" customHeight="1" ht="15.75"/>
    <row r="823" customHeight="1" ht="15.75"/>
    <row r="824" customHeight="1" ht="15.75"/>
    <row r="825" customHeight="1" ht="15.75"/>
    <row r="826" customHeight="1" ht="15.75"/>
    <row r="827" customHeight="1" ht="15.75"/>
    <row r="828" customHeight="1" ht="15.75"/>
    <row r="829" customHeight="1" ht="15.75"/>
    <row r="830" customHeight="1" ht="15.75"/>
    <row r="831" customHeight="1" ht="15.75"/>
    <row r="832" customHeight="1" ht="15.75"/>
    <row r="833" customHeight="1" ht="15.75"/>
    <row r="834" customHeight="1" ht="15.75"/>
    <row r="835" customHeight="1" ht="15.75"/>
    <row r="836" customHeight="1" ht="15.75"/>
    <row r="837" customHeight="1" ht="15.75"/>
    <row r="838" customHeight="1" ht="15.75"/>
    <row r="839" customHeight="1" ht="15.75"/>
    <row r="840" customHeight="1" ht="15.75"/>
    <row r="841" customHeight="1" ht="15.75"/>
    <row r="842" customHeight="1" ht="15.75"/>
    <row r="843" customHeight="1" ht="15.75"/>
    <row r="844" customHeight="1" ht="15.75"/>
    <row r="845" customHeight="1" ht="15.75"/>
    <row r="846" customHeight="1" ht="15.75"/>
    <row r="847" customHeight="1" ht="15.75"/>
    <row r="848" customHeight="1" ht="15.75"/>
    <row r="849" customHeight="1" ht="15.75"/>
    <row r="850" customHeight="1" ht="15.75"/>
    <row r="851" customHeight="1" ht="15.75"/>
    <row r="852" customHeight="1" ht="15.75"/>
    <row r="853" customHeight="1" ht="15.75"/>
    <row r="854" customHeight="1" ht="15.75"/>
    <row r="855" customHeight="1" ht="15.75"/>
    <row r="856" customHeight="1" ht="15.75"/>
    <row r="857" customHeight="1" ht="15.75"/>
    <row r="858" customHeight="1" ht="15.75"/>
    <row r="859" customHeight="1" ht="15.75"/>
    <row r="860" customHeight="1" ht="15.75"/>
    <row r="861" customHeight="1" ht="15.75"/>
    <row r="862" customHeight="1" ht="15.75"/>
    <row r="863" customHeight="1" ht="15.75"/>
    <row r="864" customHeight="1" ht="15.75"/>
    <row r="865" customHeight="1" ht="15.75"/>
    <row r="866" customHeight="1" ht="15.75"/>
    <row r="867" customHeight="1" ht="15.75"/>
    <row r="868" customHeight="1" ht="15.75"/>
    <row r="869" customHeight="1" ht="15.75"/>
    <row r="870" customHeight="1" ht="15.75"/>
    <row r="871" customHeight="1" ht="15.75"/>
    <row r="872" customHeight="1" ht="15.75"/>
    <row r="873" customHeight="1" ht="15.75"/>
    <row r="874" customHeight="1" ht="15.75"/>
    <row r="875" customHeight="1" ht="15.75"/>
    <row r="876" customHeight="1" ht="15.75"/>
    <row r="877" customHeight="1" ht="15.75"/>
    <row r="878" customHeight="1" ht="15.75"/>
    <row r="879" customHeight="1" ht="15.75"/>
    <row r="880" customHeight="1" ht="15.75"/>
    <row r="881" customHeight="1" ht="15.75"/>
    <row r="882" customHeight="1" ht="15.75"/>
    <row r="883" customHeight="1" ht="15.75"/>
    <row r="884" customHeight="1" ht="15.75"/>
    <row r="885" customHeight="1" ht="15.75"/>
    <row r="886" customHeight="1" ht="15.75"/>
    <row r="887" customHeight="1" ht="15.75"/>
    <row r="888" customHeight="1" ht="15.75"/>
    <row r="889" customHeight="1" ht="15.75"/>
    <row r="890" customHeight="1" ht="15.75"/>
    <row r="891" customHeight="1" ht="15.75"/>
    <row r="892" customHeight="1" ht="15.75"/>
    <row r="893" customHeight="1" ht="15.75"/>
    <row r="894" customHeight="1" ht="15.75"/>
    <row r="895" customHeight="1" ht="15.75"/>
    <row r="896" customHeight="1" ht="15.75"/>
    <row r="897" customHeight="1" ht="15.75"/>
    <row r="898" customHeight="1" ht="15.75"/>
    <row r="899" customHeight="1" ht="15.75"/>
    <row r="900" customHeight="1" ht="15.75"/>
    <row r="901" customHeight="1" ht="15.75"/>
    <row r="902" customHeight="1" ht="15.75"/>
    <row r="903" customHeight="1" ht="15.75"/>
    <row r="904" customHeight="1" ht="15.75"/>
    <row r="905" customHeight="1" ht="15.75"/>
    <row r="906" customHeight="1" ht="15.75"/>
    <row r="907" customHeight="1" ht="15.75"/>
    <row r="908" customHeight="1" ht="15.75"/>
    <row r="909" customHeight="1" ht="15.75"/>
    <row r="910" customHeight="1" ht="15.75"/>
    <row r="911" customHeight="1" ht="15.75"/>
    <row r="912" customHeight="1" ht="15.75"/>
    <row r="913" customHeight="1" ht="15.75"/>
    <row r="914" customHeight="1" ht="15.75"/>
    <row r="915" customHeight="1" ht="15.75"/>
    <row r="916" customHeight="1" ht="15.75"/>
    <row r="917" customHeight="1" ht="15.75"/>
    <row r="918" customHeight="1" ht="15.75"/>
    <row r="919" customHeight="1" ht="15.75"/>
    <row r="920" customHeight="1" ht="15.75"/>
    <row r="921" customHeight="1" ht="15.75"/>
    <row r="922" customHeight="1" ht="15.75"/>
    <row r="923" customHeight="1" ht="15.75"/>
    <row r="924" customHeight="1" ht="15.75"/>
    <row r="925" customHeight="1" ht="15.75"/>
    <row r="926" customHeight="1" ht="15.75"/>
    <row r="927" customHeight="1" ht="15.75"/>
    <row r="928" customHeight="1" ht="15.75"/>
    <row r="929" customHeight="1" ht="15.75"/>
    <row r="930" customHeight="1" ht="15.75"/>
    <row r="931" customHeight="1" ht="15.75"/>
    <row r="932" customHeight="1" ht="15.75"/>
    <row r="933" customHeight="1" ht="15.75"/>
    <row r="934" customHeight="1" ht="15.75"/>
    <row r="935" customHeight="1" ht="15.75"/>
    <row r="936" customHeight="1" ht="15.75"/>
    <row r="937" customHeight="1" ht="15.75"/>
    <row r="938" customHeight="1" ht="15.75"/>
    <row r="939" customHeight="1" ht="15.75"/>
    <row r="940" customHeight="1" ht="15.75"/>
    <row r="941" customHeight="1" ht="15.75"/>
    <row r="942" customHeight="1" ht="15.75"/>
    <row r="943" customHeight="1" ht="15.75"/>
    <row r="944" customHeight="1" ht="15.75"/>
    <row r="945" customHeight="1" ht="15.75"/>
    <row r="946" customHeight="1" ht="15.75"/>
    <row r="947" customHeight="1" ht="15.75"/>
    <row r="948" customHeight="1" ht="15.75"/>
    <row r="949" customHeight="1" ht="15.75"/>
    <row r="950" customHeight="1" ht="15.75"/>
    <row r="951" customHeight="1" ht="15.75"/>
    <row r="952" customHeight="1" ht="15.75"/>
    <row r="953" customHeight="1" ht="15.75"/>
    <row r="954" customHeight="1" ht="15.75"/>
    <row r="955" customHeight="1" ht="15.75"/>
    <row r="956" customHeight="1" ht="15.75"/>
    <row r="957" customHeight="1" ht="15.75"/>
    <row r="958" customHeight="1" ht="15.75"/>
    <row r="959" customHeight="1" ht="15.75"/>
    <row r="960" customHeight="1" ht="15.75"/>
    <row r="961" customHeight="1" ht="15.75"/>
    <row r="962" customHeight="1" ht="15.75"/>
    <row r="963" customHeight="1" ht="15.75"/>
    <row r="964" customHeight="1" ht="15.75"/>
    <row r="965" customHeight="1" ht="15.75"/>
    <row r="966" customHeight="1" ht="15.75"/>
    <row r="967" customHeight="1" ht="15.75"/>
    <row r="968" customHeight="1" ht="15.75"/>
    <row r="969" customHeight="1" ht="15.75"/>
    <row r="970" customHeight="1" ht="15.75"/>
    <row r="971" customHeight="1" ht="15.75"/>
    <row r="972" customHeight="1" ht="15.75"/>
    <row r="973" customHeight="1" ht="15.75"/>
    <row r="974" customHeight="1" ht="15.75"/>
    <row r="975" customHeight="1" ht="15.75"/>
    <row r="976" customHeight="1" ht="15.75"/>
    <row r="977" customHeight="1" ht="15.75"/>
    <row r="978" customHeight="1" ht="15.75"/>
    <row r="979" customHeight="1" ht="15.75"/>
    <row r="980" customHeight="1" ht="15.75"/>
    <row r="981" customHeight="1" ht="15.75"/>
    <row r="982" customHeight="1" ht="15.75"/>
    <row r="983" customHeight="1" ht="15.75"/>
    <row r="984" customHeight="1" ht="15.75"/>
    <row r="985" customHeight="1" ht="15.75"/>
    <row r="986" customHeight="1" ht="15.75"/>
    <row r="987" customHeight="1" ht="15.75"/>
    <row r="988" customHeight="1" ht="15.75"/>
    <row r="989" customHeight="1" ht="15.75"/>
    <row r="990" customHeight="1" ht="15.75"/>
    <row r="991" customHeight="1" ht="15.75"/>
    <row r="992" customHeight="1" ht="15.75"/>
    <row r="993" customHeight="1" ht="15.75"/>
    <row r="994" customHeight="1" ht="15.75"/>
    <row r="995" customHeight="1" ht="15.75"/>
    <row r="996" customHeight="1" ht="15.75"/>
    <row r="997" customHeight="1" ht="15.75"/>
    <row r="998" customHeight="1" ht="15.75"/>
    <row r="999" customHeight="1" ht="15.75"/>
    <row r="1000" customHeight="1" ht="15.75"/>
  </sheetData>
  <printOptions/>
  <pageMargins top="0.75" footer="0.0" left="0.7" bottom="0.75" header="0.0" right="0.7"/>
  <pageSetup orientation="landscape"/>
  <drawing r:id="rId2"/>
  <legacyDrawing r:id="rId3"/>
</worksheet>
</file>

<file path=xl/worksheets/xl/_rels/comments2.xml.rels><?xml version="1.0" encoding="UTF-8" standalone="yes"?>
<Relationships xmlns="http://schemas.openxmlformats.org/package/2006/relationships"><Relationship Target="commentsmeta1" Type="http://customschemas.google.com/relationships/workbookmetadata" Id="rId1"></Relationship></Relationships>
</file>

<file path=xl/worksheets/xl/_rels/comments3.xml.rels><?xml version="1.0" encoding="UTF-8" standalone="yes"?>
<Relationships xmlns="http://schemas.openxmlformats.org/package/2006/relationships"><Relationship Target="commentsmeta2" Type="http://customschemas.google.com/relationships/workbookmetadata" Id="rId1"></Relationship></Relationships>
</file>

<file path=xl/worksheets/xl/_rels/comments4.xml.rels><?xml version="1.0" encoding="UTF-8" standalone="yes"?>
<Relationships xmlns="http://schemas.openxmlformats.org/package/2006/relationships"><Relationship Target="commentsmeta3" Type="http://customschemas.google.com/relationships/workbookmetadata" Id="rId1"></Relationship></Relationships>
</file>

<file path=xl/worksheets/xl/_rels/comments5.xml.rels><?xml version="1.0" encoding="UTF-8" standalone="yes"?>
<Relationships xmlns="http://schemas.openxmlformats.org/package/2006/relationships"><Relationship Target="commentsmeta4" Type="http://customschemas.google.com/relationships/workbookmetadata" Id="rId1"></Relationship></Relationships>
</file>

<file path=xl/worksheets/xl/_rels/comments6.xml.rels><?xml version="1.0" encoding="UTF-8" standalone="yes"?>
<Relationships xmlns="http://schemas.openxmlformats.org/package/2006/relationships"><Relationship Target="commentsmeta5" Type="http://customschemas.google.com/relationships/workbookmetadata" Id="rId1"></Relationship></Relationships>
</file>

<file path=xl/worksheets/xl/_rels/comments7.xml.rels><?xml version="1.0" encoding="UTF-8" standalone="yes"?>
<Relationships xmlns="http://schemas.openxmlformats.org/package/2006/relationships"><Relationship Target="commentsmeta6" Type="http://customschemas.google.com/relationships/workbookmetadata" Id="rId1"></Relationship></Relationships>
</file>

<file path=xl/worksheets/xl/_rels/comments8.xml.rels><?xml version="1.0" encoding="UTF-8" standalone="yes"?>
<Relationships xmlns="http://schemas.openxmlformats.org/package/2006/relationships"><Relationship Target="commentsmeta7" Type="http://customschemas.google.com/relationships/workbookmetadata" Id="rId1"></Relationship></Relationships>
</file>

<file path=xl/worksheets/xl/_rels/comments9.xml.rels><?xml version="1.0" encoding="UTF-8" standalone="yes"?>
<Relationships xmlns="http://schemas.openxmlformats.org/package/2006/relationships"><Relationship Target="commentsmeta8" Type="http://customschemas.google.com/relationships/workbookmetadata" Id="rId1"></Relationship></Relationships>
</file>

<file path=xl/worksheets/xl/_rels/comments10.xml.rels><?xml version="1.0" encoding="UTF-8" standalone="yes"?>
<Relationships xmlns="http://schemas.openxmlformats.org/package/2006/relationships"><Relationship Target="commentsmeta9" Type="http://customschemas.google.com/relationships/workbookmetadata" Id="rId1"></Relationship></Relationships>
</file>

<file path=xl/worksheets/xl/_rels/comments11.xml.rels><?xml version="1.0" encoding="UTF-8" standalone="yes"?>
<Relationships xmlns="http://schemas.openxmlformats.org/package/2006/relationships"><Relationship Target="commentsmeta10" Type="http://customschemas.google.com/relationships/workbookmetadata" Id="rId1"></Relationship></Relationships>
</file>

<file path=xl/worksheets/xl/_rels/comments12.xml.rels><?xml version="1.0" encoding="UTF-8" standalone="yes"?>
<Relationships xmlns="http://schemas.openxmlformats.org/package/2006/relationships"><Relationship Target="commentsmeta11" Type="http://customschemas.google.com/relationships/workbookmetadata" Id="rId1"></Relationship></Relationships>
</file>

<file path=xl/worksheets/xl/_rels/comments13.xml.rels><?xml version="1.0" encoding="UTF-8" standalone="yes"?>
<Relationships xmlns="http://schemas.openxmlformats.org/package/2006/relationships"><Relationship Target="commentsmeta12" Type="http://customschemas.google.com/relationships/workbookmetadata" Id="rId1"></Relationship></Relationships>
</file>

<file path=xl/worksheets/xl/_rels/comments14.xml.rels><?xml version="1.0" encoding="UTF-8" standalone="yes"?>
<Relationships xmlns="http://schemas.openxmlformats.org/package/2006/relationships"><Relationship Target="commentsmeta13" Type="http://customschemas.google.com/relationships/workbookmetadata" Id="rId1"></Relationship></Relationships>
</file>

<file path=xl/worksheets/xl/_rels/comments15.xml.rels><?xml version="1.0" encoding="UTF-8" standalone="yes"?>
<Relationships xmlns="http://schemas.openxmlformats.org/package/2006/relationships"><Relationship Target="commentsmeta14" Type="http://customschemas.google.com/relationships/workbookmetadata" Id="rId1"></Relationship></Relationships>
</file>

<file path=xl/worksheets/xl/_rels/comments16.xml.rels><?xml version="1.0" encoding="UTF-8" standalone="yes"?>
<Relationships xmlns="http://schemas.openxmlformats.org/package/2006/relationships"><Relationship Target="commentsmeta15" Type="http://customschemas.google.com/relationships/workbookmetadata" Id="rId1"></Relationship></Relationships>
</file>

<file path=xl/worksheets/xl/_rels/comments17.xml.rels><?xml version="1.0" encoding="UTF-8" standalone="yes"?>
<Relationships xmlns="http://schemas.openxmlformats.org/package/2006/relationships"><Relationship Target="commentsmeta16" Type="http://customschemas.google.com/relationships/workbookmetadata" Id="rId1"></Relationship></Relationships>
</file>

<file path=xl/worksheets/xl/_rels/comments18.xml.rels><?xml version="1.0" encoding="UTF-8" standalone="yes"?>
<Relationships xmlns="http://schemas.openxmlformats.org/package/2006/relationships"><Relationship Target="commentsmeta17" Type="http://customschemas.google.com/relationships/workbookmetadata" Id="rId1"></Relationship></Relationships>
</file>

<file path=xl/worksheets/xl/_rels/comments19.xml.rels><?xml version="1.0" encoding="UTF-8" standalone="yes"?>
<Relationships xmlns="http://schemas.openxmlformats.org/package/2006/relationships"><Relationship Target="commentsmeta18" Type="http://customschemas.google.com/relationships/workbookmetadata" Id="rId1"></Relationship></Relationships>
</file>

<file path=xl/worksheets/xl/_rels/comments20.xml.rels><?xml version="1.0" encoding="UTF-8" standalone="yes"?>
<Relationships xmlns="http://schemas.openxmlformats.org/package/2006/relationships"><Relationship Target="commentsmeta19" Type="http://customschemas.google.com/relationships/workbookmetadata" Id="rId1"></Relationship></Relationships>
</file>

<file path=xl/worksheets/xl/_rels/comments21.xml.rels><?xml version="1.0" encoding="UTF-8" standalone="yes"?>
<Relationships xmlns="http://schemas.openxmlformats.org/package/2006/relationships"><Relationship Target="commentsmeta20" Type="http://customschemas.google.com/relationships/workbookmetadata" Id="rId1"></Relationship></Relationships>
</file>

<file path=xl/worksheets/xl/_rels/comments22.xml.rels><?xml version="1.0" encoding="UTF-8" standalone="yes"?>
<Relationships xmlns="http://schemas.openxmlformats.org/package/2006/relationships"><Relationship Target="commentsmeta21" Type="http://customschemas.google.com/relationships/workbookmetadata" Id="rId1"></Relationship></Relationship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2021-05-25T00:01:34Z</dcterms:created>
  <dc:creator>Michael Boachie</dc:creator>
</cp:coreProperties>
</file>